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\AppData\Local\Temp\claude\C--Users-PC-IT-PROJECT\6ec3f9af-7f8d-469a-b6f3-dde72717d9ba\scratchpad\test-it-pro\"/>
    </mc:Choice>
  </mc:AlternateContent>
  <xr:revisionPtr revIDLastSave="0" documentId="13_ncr:1_{32DE1A5E-670D-4846-A492-E9504E7B89E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สรุปผล" sheetId="1" r:id="rId1"/>
    <sheet name="Test Cases" sheetId="2" r:id="rId2"/>
    <sheet name="Requirements" sheetId="3" r:id="rId3"/>
  </sheets>
  <definedNames>
    <definedName name="_xlnm._FilterDatabase" localSheetId="1" hidden="1">'Test Cases'!$A$1:$O$83</definedName>
    <definedName name="_xlnm.Print_Titles" localSheetId="1">'Test Cases'!$1:$1</definedName>
  </definedNames>
  <calcPr calcId="181029"/>
</workbook>
</file>

<file path=xl/calcChain.xml><?xml version="1.0" encoding="utf-8"?>
<calcChain xmlns="http://schemas.openxmlformats.org/spreadsheetml/2006/main">
  <c r="D17" i="3" l="1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F27" i="1"/>
  <c r="E27" i="1"/>
  <c r="D27" i="1"/>
  <c r="C27" i="1"/>
  <c r="G27" i="1" s="1"/>
  <c r="B27" i="1"/>
  <c r="F26" i="1"/>
  <c r="E26" i="1"/>
  <c r="D26" i="1"/>
  <c r="C26" i="1"/>
  <c r="G26" i="1" s="1"/>
  <c r="B26" i="1"/>
  <c r="F25" i="1"/>
  <c r="E25" i="1"/>
  <c r="D25" i="1"/>
  <c r="C25" i="1"/>
  <c r="G25" i="1" s="1"/>
  <c r="B25" i="1"/>
  <c r="F24" i="1"/>
  <c r="E24" i="1"/>
  <c r="D24" i="1"/>
  <c r="C24" i="1"/>
  <c r="B24" i="1"/>
  <c r="G23" i="1"/>
  <c r="F23" i="1"/>
  <c r="E23" i="1"/>
  <c r="D23" i="1"/>
  <c r="C23" i="1"/>
  <c r="B23" i="1"/>
  <c r="F22" i="1"/>
  <c r="E22" i="1"/>
  <c r="D22" i="1"/>
  <c r="C22" i="1"/>
  <c r="G22" i="1" s="1"/>
  <c r="B22" i="1"/>
  <c r="F21" i="1"/>
  <c r="E21" i="1"/>
  <c r="D21" i="1"/>
  <c r="C21" i="1"/>
  <c r="G21" i="1" s="1"/>
  <c r="B21" i="1"/>
  <c r="F20" i="1"/>
  <c r="E20" i="1"/>
  <c r="D20" i="1"/>
  <c r="C20" i="1"/>
  <c r="G20" i="1" s="1"/>
  <c r="B20" i="1"/>
  <c r="F19" i="1"/>
  <c r="E19" i="1"/>
  <c r="D19" i="1"/>
  <c r="C19" i="1"/>
  <c r="G19" i="1" s="1"/>
  <c r="B19" i="1"/>
  <c r="F18" i="1"/>
  <c r="E18" i="1"/>
  <c r="D18" i="1"/>
  <c r="C18" i="1"/>
  <c r="G18" i="1" s="1"/>
  <c r="B18" i="1"/>
  <c r="G17" i="1"/>
  <c r="F17" i="1"/>
  <c r="E17" i="1"/>
  <c r="D17" i="1"/>
  <c r="C17" i="1"/>
  <c r="B17" i="1"/>
  <c r="F16" i="1"/>
  <c r="E16" i="1"/>
  <c r="D16" i="1"/>
  <c r="C16" i="1"/>
  <c r="G16" i="1" s="1"/>
  <c r="B16" i="1"/>
  <c r="G15" i="1"/>
  <c r="F15" i="1"/>
  <c r="E15" i="1"/>
  <c r="D15" i="1"/>
  <c r="C15" i="1"/>
  <c r="B15" i="1"/>
  <c r="F14" i="1"/>
  <c r="E14" i="1"/>
  <c r="D14" i="1"/>
  <c r="C14" i="1"/>
  <c r="G14" i="1" s="1"/>
  <c r="B14" i="1"/>
  <c r="F13" i="1"/>
  <c r="E13" i="1"/>
  <c r="D13" i="1"/>
  <c r="G13" i="1" s="1"/>
  <c r="C13" i="1"/>
  <c r="B13" i="1"/>
  <c r="F12" i="1"/>
  <c r="E12" i="1"/>
  <c r="D12" i="1"/>
  <c r="C12" i="1"/>
  <c r="B12" i="1"/>
  <c r="D28" i="1" l="1"/>
  <c r="B28" i="1"/>
  <c r="C28" i="1"/>
  <c r="E28" i="1"/>
  <c r="F28" i="1"/>
  <c r="G24" i="1"/>
  <c r="G12" i="1"/>
  <c r="G28" i="1" l="1"/>
</calcChain>
</file>

<file path=xl/sharedStrings.xml><?xml version="1.0" encoding="utf-8"?>
<sst xmlns="http://schemas.openxmlformats.org/spreadsheetml/2006/main" count="1007" uniqueCount="518">
  <si>
    <t>KU Lost &amp; Found (FOUNDLOST) — สรุปผลการทดสอบ</t>
  </si>
  <si>
    <t>ระบบ</t>
  </si>
  <si>
    <t>KU Lost &amp; Found — ระบบแจ้งของหาย/ของพบ</t>
  </si>
  <si>
    <t>อ้างอิงข้อกำหนด</t>
  </si>
  <si>
    <t>docs/REQUIREMENTS_BASELINE.md (FR-01 ถึง FR-15, NFR)</t>
  </si>
  <si>
    <t>รอบการทดสอบ</t>
  </si>
  <si>
    <t>Round 1</t>
  </si>
  <si>
    <t>สภาพแวดล้อม</t>
  </si>
  <si>
    <t>ผู้ทดสอบ</t>
  </si>
  <si>
    <t>วันที่เริ่ม / สิ้นสุด</t>
  </si>
  <si>
    <t>Requirement</t>
  </si>
  <si>
    <t>ทั้งหมด</t>
  </si>
  <si>
    <t>Pass</t>
  </si>
  <si>
    <t>Fail</t>
  </si>
  <si>
    <t>Blocked</t>
  </si>
  <si>
    <t>Not Run</t>
  </si>
  <si>
    <t>% ผ่าน</t>
  </si>
  <si>
    <t>FR-01</t>
  </si>
  <si>
    <t>FR-02</t>
  </si>
  <si>
    <t>FR-03</t>
  </si>
  <si>
    <t>FR-04</t>
  </si>
  <si>
    <t>FR-05</t>
  </si>
  <si>
    <t>FR-06</t>
  </si>
  <si>
    <t>FR-07</t>
  </si>
  <si>
    <t>FR-08</t>
  </si>
  <si>
    <t>FR-09</t>
  </si>
  <si>
    <t>FR-10</t>
  </si>
  <si>
    <t>FR-11</t>
  </si>
  <si>
    <t>FR-12</t>
  </si>
  <si>
    <t>FR-13</t>
  </si>
  <si>
    <t>FR-14</t>
  </si>
  <si>
    <t>FR-15</t>
  </si>
  <si>
    <t>NFR</t>
  </si>
  <si>
    <t>รวม</t>
  </si>
  <si>
    <t>% ผ่าน = Pass ÷ (Pass + Fail) ของกรณีที่รันแล้ว — ตัวเลขทุกช่องคำนวณอัตโนมัติจากชีต Test Cases</t>
  </si>
  <si>
    <t>ผู้ทดสอบ: ______________________   วันที่: ____________</t>
  </si>
  <si>
    <t>ผู้ตรวจสอบ: ______________________   วันที่: ____________</t>
  </si>
  <si>
    <t>ผู้อนุมัติ: ______________________   วันที่: ____________</t>
  </si>
  <si>
    <t>Test Case ID</t>
  </si>
  <si>
    <t>โมดูล</t>
  </si>
  <si>
    <t>หัวข้อทดสอบ (Scenario)</t>
  </si>
  <si>
    <t>เงื่อนไขก่อนทดสอบ</t>
  </si>
  <si>
    <t>ขั้นตอนการทดสอบ</t>
  </si>
  <si>
    <t>ข้อมูลทดสอบ</t>
  </si>
  <si>
    <t>ผลที่คาดหวัง</t>
  </si>
  <si>
    <t>ผลจริง</t>
  </si>
  <si>
    <t>สถานะ</t>
  </si>
  <si>
    <t>ความสำคัญ</t>
  </si>
  <si>
    <t>ประเภท</t>
  </si>
  <si>
    <t>วันที่ทดสอบ</t>
  </si>
  <si>
    <t>Bug ID / หมายเหตุ</t>
  </si>
  <si>
    <t>TC-FR01-01</t>
  </si>
  <si>
    <t>เข้าสู่ระบบ</t>
  </si>
  <si>
    <t>ขอ OTP ด้วยอีเมล @ku.th ที่อยู่ในทะเบียน</t>
  </si>
  <si>
    <t>บัญชี active อยู่ในตาราง users ยังไม่เคยตั้งรหัสผ่าน</t>
  </si>
  <si>
    <t>1. เปิดหน้า Login
2. กรอกอีเมล
3. กด ขอรหัส OTP</t>
  </si>
  <si>
    <t>อีเมล: student01@ku.th</t>
  </si>
  <si>
    <t>ระบบแจ้งว่าส่ง OTP แล้ว ได้รับอีเมล OTP 6 หลัก</t>
  </si>
  <si>
    <t>High</t>
  </si>
  <si>
    <t>Positive</t>
  </si>
  <si>
    <t>TC-FR01-02</t>
  </si>
  <si>
    <t>ขอ OTP ด้วยอีเมลที่ไม่ใช่ @ku.th</t>
  </si>
  <si>
    <t>-</t>
  </si>
  <si>
    <t>1. เปิดหน้า Login
2. กรอกอีเมลนอกโดเมน
3. กด ขอรหัส OTP</t>
  </si>
  <si>
    <t>อีเมล: test@gmail.com</t>
  </si>
  <si>
    <t>ระบบปฏิเสธ แสดงข้อความให้ใช้อีเมล @ku.th ไม่ส่ง OTP</t>
  </si>
  <si>
    <t>Negative</t>
  </si>
  <si>
    <t>TC-FR01-03</t>
  </si>
  <si>
    <t>ขอ OTP ด้วยอีเมล @ku.th ที่ไม่มีในทะเบียน</t>
  </si>
  <si>
    <t>อีเมลไม่มีในตาราง users</t>
  </si>
  <si>
    <t>1. กรอกอีเมล
2. กด ขอรหัส OTP</t>
  </si>
  <si>
    <t>อีเมล: nobody@ku.th</t>
  </si>
  <si>
    <t>ไม่ส่ง OTP และแสดงข้อความชัดเจนว่าไม่พบอีเมลนี้ในทะเบียนที่อนุญาต หรือบัญชีถูกระงับ ให้ติดต่อผู้ดูแลระบบ (ออกแบบให้แจ้งชัดตาม README)</t>
  </si>
  <si>
    <t>TC-FR01-04</t>
  </si>
  <si>
    <t>ขอ OTP ด้วยบัญชีที่ถูกปิดใช้งาน</t>
  </si>
  <si>
    <t>บัญชีสถานะ inactive</t>
  </si>
  <si>
    <t>1. กรอกอีเมลบัญชี inactive
2. กด ขอรหัส OTP</t>
  </si>
  <si>
    <t>อีเมล: inactive01@ku.th</t>
  </si>
  <si>
    <t>ไม่ส่ง OTP และเข้าใช้ไม่ได้</t>
  </si>
  <si>
    <t>TC-FR01-05</t>
  </si>
  <si>
    <t>ยืนยัน OTP ถูกต้องภายในเวลา</t>
  </si>
  <si>
    <t>ได้รับ OTP แล้ว (อายุ 5 นาที)</t>
  </si>
  <si>
    <t>1. กรอก OTP ที่ได้รับ
2. กด ยืนยัน</t>
  </si>
  <si>
    <t>OTP: ตามอีเมล</t>
  </si>
  <si>
    <t>ยืนยันสำเร็จ ไปหน้าตั้งรหัสผ่าน</t>
  </si>
  <si>
    <t>TC-FR01-06</t>
  </si>
  <si>
    <t>ยืนยัน OTP ผิด</t>
  </si>
  <si>
    <t>ได้รับ OTP แล้ว</t>
  </si>
  <si>
    <t>1. กรอก OTP ผิด
2. กด ยืนยัน</t>
  </si>
  <si>
    <t>OTP: 000000</t>
  </si>
  <si>
    <t>แสดงข้อความ OTP ไม่ถูกต้อง ไม่เข้าสู่ระบบ</t>
  </si>
  <si>
    <t>TC-FR01-07</t>
  </si>
  <si>
    <t>กรอก OTP ผิดเกิน 5 ครั้ง</t>
  </si>
  <si>
    <t>1. กรอก OTP ผิด 5 ครั้ง
2. ครั้งที่ 6 กรอก OTP ที่ถูกต้อง</t>
  </si>
  <si>
    <t>OTP ผิด x5 แล้ว OTP ถูก</t>
  </si>
  <si>
    <t>OTP ถูกล็อก ต้องขอ OTP ใหม่ แม้ครั้งที่ 6 กรอกถูก</t>
  </si>
  <si>
    <t>Boundary</t>
  </si>
  <si>
    <t>TC-FR01-08</t>
  </si>
  <si>
    <t>ใช้ OTP ที่หมดอายุ (เกิน 5 นาที)</t>
  </si>
  <si>
    <t>ได้รับ OTP แล้วรอเกิน 5 นาที</t>
  </si>
  <si>
    <t>1. รอ 5 นาทีขึ้นไป
2. กรอก OTP
3. กด ยืนยัน</t>
  </si>
  <si>
    <t>แจ้งว่า OTP หมดอายุ ให้ขอใหม่</t>
  </si>
  <si>
    <t>TC-FR01-09</t>
  </si>
  <si>
    <t>OTP ต้องเป็นตัวเลข 6 หลัก</t>
  </si>
  <si>
    <t>อยู่หน้ากรอก OTP</t>
  </si>
  <si>
    <t>1. กรอก OTP 5 หลัก / มีตัวอักษร
2. กด ยืนยัน</t>
  </si>
  <si>
    <t>12345, 12a456</t>
  </si>
  <si>
    <t>ฟอร์มไม่ยอมให้ส่ง หรือแจ้งรูปแบบไม่ถูกต้อง</t>
  </si>
  <si>
    <t>Medium</t>
  </si>
  <si>
    <t>TC-FR01-10</t>
  </si>
  <si>
    <t>ขอ OTP ถี่เกินกำหนด (rate limit)</t>
  </si>
  <si>
    <t>1. กด ขอ OTP ซ้ำ 6 ครั้งภายใน 15 นาที</t>
  </si>
  <si>
    <t>อีเมลเดิม</t>
  </si>
  <si>
    <t>ครั้งที่เกินถูกปฏิเสธ แจ้งให้รอแล้วลองใหม่</t>
  </si>
  <si>
    <t>Security</t>
  </si>
  <si>
    <t>TC-FR01-11</t>
  </si>
  <si>
    <t>ตั้งรหัสผ่านยาว 15 ตัวอักษร (ขอบล่าง)</t>
  </si>
  <si>
    <t>ยืนยัน OTP สำเร็จ</t>
  </si>
  <si>
    <t>1. กรอกรหัสผ่าน 15 ตัว และยืนยัน
2. กด บันทึก</t>
  </si>
  <si>
    <t>รหัส 15 ตัวอักษร</t>
  </si>
  <si>
    <t>บันทึกสำเร็จ เข้าสู่ระบบได้</t>
  </si>
  <si>
    <t>TC-FR01-12</t>
  </si>
  <si>
    <t>ตั้งรหัสผ่านสั้นกว่า 15 ตัวอักษร</t>
  </si>
  <si>
    <t>1. กรอกรหัสผ่าน 14 ตัว
2. กด บันทึก</t>
  </si>
  <si>
    <t>รหัส 14 ตัวอักษร</t>
  </si>
  <si>
    <t>แสดง “รหัสผ่านต้องยาว 15–128 ตัวอักษร” ไม่บันทึก</t>
  </si>
  <si>
    <t>TC-FR01-13</t>
  </si>
  <si>
    <t>ตั้งรหัสผ่านยาวเกิน 128 ตัวอักษร</t>
  </si>
  <si>
    <t>1. กรอกรหัสผ่าน 129 ตัว
2. กด บันทึก</t>
  </si>
  <si>
    <t>รหัส 129 ตัวอักษร</t>
  </si>
  <si>
    <t>ไม่บันทึก แจ้งความยาวไม่ถูกต้อง</t>
  </si>
  <si>
    <t>TC-FR01-14</t>
  </si>
  <si>
    <t>รหัสผ่านและยืนยันรหัสผ่านไม่ตรงกัน</t>
  </si>
  <si>
    <t>1. กรอกรหัสผ่านสองช่องไม่ตรงกัน
2. กด บันทึก</t>
  </si>
  <si>
    <t>แจ้งรหัสผ่านไม่ตรงกัน ไม่บันทึก</t>
  </si>
  <si>
    <t>TC-FR01-15</t>
  </si>
  <si>
    <t>เข้าสู่ระบบด้วยรหัสผ่านถูกต้อง</t>
  </si>
  <si>
    <t>ตั้งรหัสผ่านแล้ว</t>
  </si>
  <si>
    <t>1. กรอกอีเมลและรหัสผ่าน
2. กด เข้าสู่ระบบ</t>
  </si>
  <si>
    <t>อีเมล + รหัสผ่านที่ตั้งไว้</t>
  </si>
  <si>
    <t>เข้าสู่ระบบสำเร็จ ไปหน้าหลัก แสดงชื่อผู้ใช้</t>
  </si>
  <si>
    <t>TC-FR01-16</t>
  </si>
  <si>
    <t>เข้าสู่ระบบด้วยรหัสผ่านผิด</t>
  </si>
  <si>
    <t>1. กรอกรหัสผ่านผิด
2. กด เข้าสู่ระบบ</t>
  </si>
  <si>
    <t>รหัสผ่านผิด</t>
  </si>
  <si>
    <t>แจ้งอีเมลหรือรหัสผ่านไม่ถูกต้อง ไม่ระบุว่าผิดช่องใด</t>
  </si>
  <si>
    <t>TC-FR01-17</t>
  </si>
  <si>
    <t>เข้าสู่ระบบโดยเว้นช่องว่าง</t>
  </si>
  <si>
    <t>1. ไม่กรอกอีเมล/รหัสผ่าน
2. กด เข้าสู่ระบบ</t>
  </si>
  <si>
    <t>ว่าง</t>
  </si>
  <si>
    <t>แจ้งให้กรอกข้อมูลที่จำเป็น</t>
  </si>
  <si>
    <t>Low</t>
  </si>
  <si>
    <t>TC-FR01-18</t>
  </si>
  <si>
    <t>ลืมรหัสผ่าน (Reset ผ่าน OTP)</t>
  </si>
  <si>
    <t>1. กด ลืมรหัสผ่าน
2. ขอ OTP และยืนยัน
3. ตั้งรหัสผ่านใหม่
4. Login ด้วยรหัสใหม่</t>
  </si>
  <si>
    <t>รหัสใหม่ 15+ ตัว</t>
  </si>
  <si>
    <t>เปลี่ยนรหัสสำเร็จ รหัสเดิมใช้ไม่ได้ รหัสใหม่ใช้ได้</t>
  </si>
  <si>
    <t>TC-FR01-19</t>
  </si>
  <si>
    <t>ออกจากระบบ (Logout)</t>
  </si>
  <si>
    <t>เข้าสู่ระบบอยู่</t>
  </si>
  <si>
    <t>1. กด ออกจากระบบ
2. กด Back ของเบราว์เซอร์ / เปิดหน้าที่ต้อง Login</t>
  </si>
  <si>
    <t>กลับหน้า Login เปิดหน้าที่ต้อง Login ไม่ได้</t>
  </si>
  <si>
    <t>TC-FR01-20</t>
  </si>
  <si>
    <t>Session หมดอายุ (7 วัน)</t>
  </si>
  <si>
    <t>เข้าสู่ระบบไว้เกิน 7 วัน หรือแก้วันหมดอายุ session ในฐานทดสอบ</t>
  </si>
  <si>
    <t>1. เปิดหน้าใดก็ได้ที่ต้อง Login</t>
  </si>
  <si>
    <t>ระบบให้ Login ใหม่</t>
  </si>
  <si>
    <t>TC-FR01-21</t>
  </si>
  <si>
    <t>เข้าสู่ระบบด้วย Google @ku.th</t>
  </si>
  <si>
    <t>ตั้ง Google OAuth Client ID แล้ว</t>
  </si>
  <si>
    <t>1. กด เข้าสู่ระบบด้วย Google
2. เลือกบัญชี @ku.th</t>
  </si>
  <si>
    <t>บัญชี Google @ku.th</t>
  </si>
  <si>
    <t>เข้าสู่ระบบสำเร็จ (ถ้ายังไม่ตั้งค่า ปุ่มต้องไม่แสดง)</t>
  </si>
  <si>
    <t>TC-FR01-22</t>
  </si>
  <si>
    <t>เข้าสู่ระบบด้วย Google ที่ไม่ใช่ @ku.th</t>
  </si>
  <si>
    <t>1. กด เข้าสู่ระบบด้วย Google
2. เลือกบัญชี gmail</t>
  </si>
  <si>
    <t>บัญชี @gmail.com</t>
  </si>
  <si>
    <t>ระบบปฏิเสธ</t>
  </si>
  <si>
    <t>TC-FR02-01</t>
  </si>
  <si>
    <t>แจ้งของหาย</t>
  </si>
  <si>
    <t>แจ้งของหายครบทุกช่องพร้อมรูป</t>
  </si>
  <si>
    <t>Login เป็นนิสิต</t>
  </si>
  <si>
    <t>1. กด แจ้งของหาย
2. กรอกชื่อสิ่งของ ประเภท ยี่ห้อ รุ่น สี ลักษณะเฉพาะ วันเวลา สถานที่
3. แนบรูป
4. กด ส่ง</t>
  </si>
  <si>
    <t>ชื่อ: กระเป๋าสตางค์
ประเภท: กระเป๋า
สี: ดำ
รูป: wallet.jpg (1 MB)</t>
  </si>
  <si>
    <t>บันทึกสำเร็จ รายการแสดงในหน้าของหายและประวัติของฉัน สถานะ รอดำเนินการ</t>
  </si>
  <si>
    <t>TC-FR02-02</t>
  </si>
  <si>
    <t>แจ้งของหายเฉพาะช่องบังคับ ไม่แนบรูป</t>
  </si>
  <si>
    <t>1. กรอกเฉพาะช่องบังคับ
2. กด ส่ง</t>
  </si>
  <si>
    <t>ชื่อ: ร่ม</t>
  </si>
  <si>
    <t>บันทึกสำเร็จ</t>
  </si>
  <si>
    <t>TC-FR02-03</t>
  </si>
  <si>
    <t>ไม่กรอกชื่อสิ่งของ (ช่องบังคับ)</t>
  </si>
  <si>
    <t>1. เว้นชื่อสิ่งของ
2. กด ส่ง</t>
  </si>
  <si>
    <t>ชื่อ: ว่าง</t>
  </si>
  <si>
    <t>แจ้งให้กรอกชื่อสิ่งของ ไม่บันทึก</t>
  </si>
  <si>
    <t>TC-FR02-04</t>
  </si>
  <si>
    <t>ชื่อสิ่งของยาว 255 / 256 ตัวอักษร</t>
  </si>
  <si>
    <t>1. กรอกชื่อ 255 ตัว → ส่ง
2. กรอกชื่อ 256 ตัว → ส่ง</t>
  </si>
  <si>
    <t>255 และ 256 ตัวอักษร</t>
  </si>
  <si>
    <t>255 ตัวบันทึกได้ / 256 ตัวถูกปฏิเสธ</t>
  </si>
  <si>
    <t>TC-FR02-05</t>
  </si>
  <si>
    <t>รายละเอียดยาวเกิน 5,000 ตัวอักษร</t>
  </si>
  <si>
    <t>1. กรอกรายละเอียด 5,001 ตัว
2. กด ส่ง</t>
  </si>
  <si>
    <t>5,001 ตัวอักษร</t>
  </si>
  <si>
    <t>ไม่บันทึก แจ้งความยาวเกิน</t>
  </si>
  <si>
    <t>TC-FR02-06</t>
  </si>
  <si>
    <t>แนบรูปชนิดไม่รองรับ</t>
  </si>
  <si>
    <t>1. แนบไฟล์ .gif หรือ .pdf
2. กด ส่ง</t>
  </si>
  <si>
    <t>file.pdf</t>
  </si>
  <si>
    <t>ปฏิเสธไฟล์ รองรับเฉพาะ JPG/PNG/WebP</t>
  </si>
  <si>
    <t>TC-FR02-07</t>
  </si>
  <si>
    <t>แนบรูปขนาดเกิน 5 MB</t>
  </si>
  <si>
    <t>1. แนบรูปขนาด 5.1 MB
2. กด ส่ง</t>
  </si>
  <si>
    <t>big.jpg (5.1 MB)</t>
  </si>
  <si>
    <t>ปฏิเสธ แจ้งไฟล์ใหญ่เกินกำหนด</t>
  </si>
  <si>
    <t>TC-FR02-08</t>
  </si>
  <si>
    <t>ระบุวันที่หายเป็นอนาคต</t>
  </si>
  <si>
    <t>1. เลือกวันที่หายเป็นวันพรุ่งนี้
2. กด ส่ง</t>
  </si>
  <si>
    <t>วันที่: พรุ่งนี้</t>
  </si>
  <si>
    <t>ไม่ให้บันทึก หรือแจ้งเตือนวันที่ไม่ถูกต้อง</t>
  </si>
  <si>
    <t>TC-FR02-09</t>
  </si>
  <si>
    <t>เลือกสถานที่จากแผนที่ / รายการแนะนำ</t>
  </si>
  <si>
    <t>1. พิมพ์ชื่อสถานที่บางส่วน
2. เลือกจากรายการแนะนำ หรือปักหมุดบนแผนที่</t>
  </si>
  <si>
    <t>สถานที่: อาคาร 15</t>
  </si>
  <si>
    <t>บันทึกชื่อสถานที่และพิกัดถูกต้อง</t>
  </si>
  <si>
    <t>TC-FR02-10</t>
  </si>
  <si>
    <t>ผู้ที่ไม่ได้ Login แจ้งของหาย</t>
  </si>
  <si>
    <t>ยังไม่ Login</t>
  </si>
  <si>
    <t>1. เปิด URL หน้าแจ้งของหายโดยตรง</t>
  </si>
  <si>
    <t>ถูกพาไปหน้า Login</t>
  </si>
  <si>
    <t>TC-FR03-01</t>
  </si>
  <si>
    <t>แจ้งของพบ</t>
  </si>
  <si>
    <t>แจ้งของพบพร้อมระบุจุดฝาก</t>
  </si>
  <si>
    <t>1. กด แจ้งของพบ
2. กรอกข้อมูล สถานที่พบ จุดฝาก
3. แนบรูป
4. กด ส่ง</t>
  </si>
  <si>
    <t>ชื่อ: บัตรนิสิต
จุดฝาก: ตึกกิจการนิสิต</t>
  </si>
  <si>
    <t>บันทึกสำเร็จ แสดงในหน้าของพบ พร้อมจุดฝาก</t>
  </si>
  <si>
    <t>TC-FR03-02</t>
  </si>
  <si>
    <t>แจ้งของพบไม่ระบุจุดฝาก</t>
  </si>
  <si>
    <t>1. เว้นช่องจุดฝาก
2. กด ส่ง</t>
  </si>
  <si>
    <t>ระบบบังคับ หรือแจ้งให้เลือกจุดฝาก ตามที่ออกแบบ</t>
  </si>
  <si>
    <t>TC-FR03-03</t>
  </si>
  <si>
    <t>เจ้าหน้าที่อัปเดตจุดฝากปัจจุบัน</t>
  </si>
  <si>
    <t>Login เป็น Staff มีรายการของพบ</t>
  </si>
  <si>
    <t>1. เปิดรายการของพบในหน้า Admin
2. เปลี่ยนจุดฝาก
3. บันทึก</t>
  </si>
  <si>
    <t>จุดฝากใหม่: สำนักหอสมุด</t>
  </si>
  <si>
    <t>จุดฝากเปลี่ยน แสดงผลใหม่ฝั่งผู้ใช้ มีบันทึก audit</t>
  </si>
  <si>
    <t>TC-FR03-04</t>
  </si>
  <si>
    <t>นิสิตทั่วไปพยายามแก้จุดฝาก</t>
  </si>
  <si>
    <t>1. เรียก API แก้จุดฝากของรายการผู้อื่น</t>
  </si>
  <si>
    <t>ได้ 403 Forbidden ข้อมูลไม่เปลี่ยน</t>
  </si>
  <si>
    <t>TC-FR04-01</t>
  </si>
  <si>
    <t>จับคู่อัตโนมัติ</t>
  </si>
  <si>
    <t>ของหาย-ของพบลักษณะตรงกันถูกจับคู่</t>
  </si>
  <si>
    <t>มีรายการของหาย</t>
  </si>
  <si>
    <t>1. แจ้งของพบประเภท สี สถานที่ และเวลาใกล้เคียงกับของหาย
2. รอระบบประมวลผล</t>
  </si>
  <si>
    <t>ของหาย/ของพบ: กระเป๋าสตางค์ดำ อาคาร 15 วันเดียวกัน</t>
  </si>
  <si>
    <t>ระบบสร้างคู่ แสดง confidence score สูง</t>
  </si>
  <si>
    <t>TC-FR04-02</t>
  </si>
  <si>
    <t>ของต่างประเภทไม่ถูกจับคู่</t>
  </si>
  <si>
    <t>1. แจ้งของพบประเภทต่างกันสิ้นเชิง</t>
  </si>
  <si>
    <t>ของหาย: ร่ม / ของพบ: โทรศัพท์</t>
  </si>
  <si>
    <t>ไม่สร้างคู่ หรือ score ต่ำกว่าเกณฑ์</t>
  </si>
  <si>
    <t>TC-FR04-03</t>
  </si>
  <si>
    <t>ช่วงเวลาห่างกันมากลดคะแนน</t>
  </si>
  <si>
    <t>1. แจ้งของพบลักษณะตรงกัน แต่วันที่ห่างหลายเดือน</t>
  </si>
  <si>
    <t>ห่าง 6 เดือน</t>
  </si>
  <si>
    <t>score ต่ำกว่ากรณีวันใกล้กัน</t>
  </si>
  <si>
    <t>TC-FR04-04</t>
  </si>
  <si>
    <t>เวลาประมวลผลจับคู่ไม่เกิน 5 วินาที</t>
  </si>
  <si>
    <t>ระบบพร้อมใช้งาน</t>
  </si>
  <si>
    <t>1. ส่งรายการของพบ
2. จับเวลาจนผลจับคู่ปรากฏ</t>
  </si>
  <si>
    <t>ผลจับคู่ภายใน 5 วินาที</t>
  </si>
  <si>
    <t>Performance</t>
  </si>
  <si>
    <t>TC-FR05-01</t>
  </si>
  <si>
    <t>การแจ้งเตือน</t>
  </si>
  <si>
    <t>แจ้งเตือนทั้งสองฝ่ายเมื่อพบคู่</t>
  </si>
  <si>
    <t>มีคู่ที่ระบบจับได้</t>
  </si>
  <si>
    <t>1. Login ทั้งผู้แจ้งหายและผู้แจ้งพบ
2. เปิดหน้าแจ้งเตือน</t>
  </si>
  <si>
    <t>ทั้งสองฝ่ายได้รับแจ้งเตือนในระบบ และอีเมล</t>
  </si>
  <si>
    <t>TC-FR05-02</t>
  </si>
  <si>
    <t>อ่านแจ้งเตือนแล้วตัวนับลดลง</t>
  </si>
  <si>
    <t>มีแจ้งเตือนยังไม่อ่าน</t>
  </si>
  <si>
    <t>1. กดเปิดแจ้งเตือน</t>
  </si>
  <si>
    <t>สถานะเปลี่ยนเป็นอ่านแล้ว ตัวเลขบน Navbar ลดลง</t>
  </si>
  <si>
    <t>TC-FR06-01</t>
  </si>
  <si>
    <t>ปกปิดข้อมูล</t>
  </si>
  <si>
    <t>ลักษณะเฉพาะไม่แสดงในรายการทั่วไป</t>
  </si>
  <si>
    <t>มีรายการที่กรอกลักษณะเฉพาะ (private details)</t>
  </si>
  <si>
    <t>1. Login เป็นผู้ใช้อื่น
2. เปิดรายการและหน้ารายละเอียด
3. ตรวจ response API</t>
  </si>
  <si>
    <t>ไม่เห็นลักษณะเฉพาะทั้งบนหน้าเว็บและใน API</t>
  </si>
  <si>
    <t>TC-FR06-02</t>
  </si>
  <si>
    <t>เจ้าของรายการเห็นลักษณะเฉพาะของตนเอง</t>
  </si>
  <si>
    <t>Login เป็นเจ้าของรายการ</t>
  </si>
  <si>
    <t>1. เปิดรายการของตนเอง</t>
  </si>
  <si>
    <t>เห็นลักษณะเฉพาะที่ตนกรอก</t>
  </si>
  <si>
    <t>TC-FR06-03</t>
  </si>
  <si>
    <t>ไม่แสดงข้อมูลติดต่อผู้แจ้งต่อสาธารณะ</t>
  </si>
  <si>
    <t>1. เปิดหน้ารายการของพบ</t>
  </si>
  <si>
    <t>ไม่แสดงอีเมล/เบอร์โทร/รหัสนิสิตของผู้แจ้ง</t>
  </si>
  <si>
    <t>TC-FR07-01</t>
  </si>
  <si>
    <t>ขอรับคืน</t>
  </si>
  <si>
    <t>ยื่นคำขอรับคืนพร้อมตอบลักษณะเฉพาะ</t>
  </si>
  <si>
    <t>Login เป็นเจ้าของ มีคู่ที่จับได้</t>
  </si>
  <si>
    <t>1. เปิดรายการคู่
2. กด ขอรับคืน
3. ตอบลักษณะเฉพาะ
4. กด ส่ง</t>
  </si>
  <si>
    <t>คำตอบ: มีสติ๊กเกอร์รูปแมวด้านใน</t>
  </si>
  <si>
    <t>สร้างคำขอ สถานะ รอยืนยัน</t>
  </si>
  <si>
    <t>TC-FR07-02</t>
  </si>
  <si>
    <t>ยื่นคำขอรับคืนซ้ำรายการเดิม</t>
  </si>
  <si>
    <t>มีคำขอที่รอยืนยันอยู่แล้ว</t>
  </si>
  <si>
    <t>1. กด ขอรับคืนซ้ำ</t>
  </si>
  <si>
    <t>ระบบไม่สร้างคำขอซ้ำ แจ้งว่ามีคำขออยู่แล้ว</t>
  </si>
  <si>
    <t>TC-FR07-03</t>
  </si>
  <si>
    <t>เจ้าหน้าที่อนุมัติคำขอเมื่อคำตอบและตัวตนถูกต้อง</t>
  </si>
  <si>
    <t>Login เป็น Staff มีคำขอรอยืนยัน</t>
  </si>
  <si>
    <t>1. เปิดคำขอ
2. เทียบคำตอบกับลักษณะเฉพาะ ตรวจบัตร
3. กด อนุมัติ</t>
  </si>
  <si>
    <t>สถานะเป็น ยืนยันแล้ว ผู้ขอได้รับแจ้ง</t>
  </si>
  <si>
    <t>TC-FR07-04</t>
  </si>
  <si>
    <t>เจ้าหน้าที่ปฏิเสธคำขอ</t>
  </si>
  <si>
    <t>1. เปิดคำขอ
2. กด ปฏิเสธ พร้อมเหตุผล</t>
  </si>
  <si>
    <t>เหตุผล: คำตอบไม่ตรง</t>
  </si>
  <si>
    <t>สถานะเป็น ปฏิเสธ ผู้ขอได้รับแจ้งพร้อมเหตุผล ของยังคงอยู่ในคลัง</t>
  </si>
  <si>
    <t>TC-FR07-05</t>
  </si>
  <si>
    <t>บันทึกส่งมอบสิ่งของ</t>
  </si>
  <si>
    <t>คำขอได้รับอนุมัติแล้ว</t>
  </si>
  <si>
    <t>1. Staff กด ส่งมอบ
2. ยืนยันการส่งมอบ</t>
  </si>
  <si>
    <t>สถานะของเป็น รับคืนแล้ว บันทึกผู้ส่งมอบและเวลา</t>
  </si>
  <si>
    <t>TC-FR07-06</t>
  </si>
  <si>
    <t>ส่งมอบโดยยังไม่อนุมัติคำขอ</t>
  </si>
  <si>
    <t>คำขอยังรอยืนยัน</t>
  </si>
  <si>
    <t>1. เรียก API ส่งมอบโดยตรง</t>
  </si>
  <si>
    <t>ระบบปฏิเสธ ห้ามข้ามขั้นตอนตรวจตัวตน</t>
  </si>
  <si>
    <t>TC-FR08-01</t>
  </si>
  <si>
    <t>ติดตามสถานะ</t>
  </si>
  <si>
    <t>ดูประวัติรายงานของตนเอง</t>
  </si>
  <si>
    <t>Login เป็นนิสิตที่มีรายงาน</t>
  </si>
  <si>
    <t>1. เปิดหน้าประวัติ</t>
  </si>
  <si>
    <t>แสดงเฉพาะรายงานของตนเอง พร้อมสถานะปัจจุบัน</t>
  </si>
  <si>
    <t>TC-FR08-02</t>
  </si>
  <si>
    <t>สถานะเปลี่ยนตามขั้นตอน</t>
  </si>
  <si>
    <t>มีรายงานที่ผ่านการจับคู่และส่งมอบ</t>
  </si>
  <si>
    <t>1. ตรวจสถานะหลังแต่ละขั้น: แจ้ง → พบคู่ → รอยืนยัน → รับคืน</t>
  </si>
  <si>
    <t>สถานะในหน้าประวัติตรงกับขั้นตอนจริงทุกขั้น</t>
  </si>
  <si>
    <t>TC-FR08-03</t>
  </si>
  <si>
    <t>เปิดรายละเอียดรายงานของผู้อื่นผ่าน URL</t>
  </si>
  <si>
    <t>1. เปลี่ยน id ใน URL เป็นรายการของผู้อื่น</t>
  </si>
  <si>
    <t>ไม่เห็นข้อมูลส่วนตัว/ปกปิดของผู้อื่น</t>
  </si>
  <si>
    <t>TC-FR09-01</t>
  </si>
  <si>
    <t>แผนที่จุดฝาก</t>
  </si>
  <si>
    <t>แสดงจุดฝากบนแผนที่พร้อมเวลาทำการ</t>
  </si>
  <si>
    <t>มีจุดรับฝากในระบบ</t>
  </si>
  <si>
    <t>1. เปิดหน้าแผนที่
2. กดหมุดจุดฝาก</t>
  </si>
  <si>
    <t>แสดงชื่อจุดฝาก ตำแหน่ง และเวลาทำการ</t>
  </si>
  <si>
    <t>TC-FR09-02</t>
  </si>
  <si>
    <t>หน้ารายละเอียดของพบแสดงจุดฝากปัจจุบัน</t>
  </si>
  <si>
    <t>มีของพบที่ระบุจุดฝาก</t>
  </si>
  <si>
    <t>1. เปิดรายละเอียดของพบ</t>
  </si>
  <si>
    <t>แสดงจุดฝากปัจจุบันตรงกับข้อมูลล่าสุด</t>
  </si>
  <si>
    <t>TC-FR10-01</t>
  </si>
  <si>
    <t>จัดการคลังของ</t>
  </si>
  <si>
    <t>Staff รับฝากสิ่งของ</t>
  </si>
  <si>
    <t>Login เป็น Staff มีของพบสถานะรอดำเนินการ</t>
  </si>
  <si>
    <t>1. กด รับฝาก
2. เลือกจุดฝาก</t>
  </si>
  <si>
    <t>สถานะเป็น ฝากแล้ว (deposited)</t>
  </si>
  <si>
    <t>TC-FR10-02</t>
  </si>
  <si>
    <t>บริจาค/จำหน่ายของที่ครบกำหนดพร้อมเหตุผล</t>
  </si>
  <si>
    <t>มีของเกินระยะเก็บ</t>
  </si>
  <si>
    <t>1. เลือกรายการ
2. กด บริจาค/จำหน่าย
3. กรอกเหตุผล</t>
  </si>
  <si>
    <t>เหตุผล: ครบ 90 วันไม่มีผู้รับ</t>
  </si>
  <si>
    <t>สถานะเปลี่ยน บันทึกเหตุผลและผู้ดำเนินการ</t>
  </si>
  <si>
    <t>TC-FR10-03</t>
  </si>
  <si>
    <t>บริจาคของที่ยังไม่ครบกำหนด หรือไม่ใส่เหตุผล</t>
  </si>
  <si>
    <t>มีของยังไม่ครบกำหนด</t>
  </si>
  <si>
    <t>1. พยายามบริจาค
2. เว้นเหตุผล</t>
  </si>
  <si>
    <t>TC-FR11-01</t>
  </si>
  <si>
    <t>ระยะเก็บรักษา</t>
  </si>
  <si>
    <t>แจ้งเตือนก่อนครบกำหนดเก็บ</t>
  </si>
  <si>
    <t>ของใกล้ครบระยะเก็บ (ค่าเริ่มต้น 90 วัน)</t>
  </si>
  <si>
    <t>1. ปรับวันที่รายการในฐานทดสอบให้ใกล้ครบกำหนด
2. รอ scheduler ทำงาน</t>
  </si>
  <si>
    <t>ผู้ใช้และเจ้าหน้าที่ได้รับแจ้งเตือนล่วงหน้า</t>
  </si>
  <si>
    <t>TC-FR11-02</t>
  </si>
  <si>
    <t>Super Admin ปรับระยะเก็บรักษา</t>
  </si>
  <si>
    <t>Login เป็น Super Admin</t>
  </si>
  <si>
    <t>1. เปิดหน้าตั้งค่า
2. เปลี่ยนระยะเก็บเป็น 60 วัน
3. บันทึก</t>
  </si>
  <si>
    <t>60 วัน</t>
  </si>
  <si>
    <t>ค่าใหม่ถูกใช้คำนวณวันครบกำหนด</t>
  </si>
  <si>
    <t>TC-FR12-01</t>
  </si>
  <si>
    <t>ค้นหาและกรอง</t>
  </si>
  <si>
    <t>ค้นหาด้วยคำสำคัญ</t>
  </si>
  <si>
    <t>มีรายการหลายรายการ</t>
  </si>
  <si>
    <t>1. พิมพ์คำค้นในช่องค้นหา</t>
  </si>
  <si>
    <t>คำค้น: กระเป๋า</t>
  </si>
  <si>
    <t>แสดงเฉพาะรายการที่เกี่ยวข้อง</t>
  </si>
  <si>
    <t>TC-FR12-02</t>
  </si>
  <si>
    <t>กรองตามประเภท วันที่ สถานที่ และสถานะ</t>
  </si>
  <si>
    <t>1. เลือกตัวกรองแต่ละแบบ และรวมกัน</t>
  </si>
  <si>
    <t>ประเภท: อิเล็กทรอนิกส์, ช่วง 1–7 ต.ค.</t>
  </si>
  <si>
    <t>ผลลัพธ์ตรงทุกเงื่อนไข</t>
  </si>
  <si>
    <t>TC-FR12-03</t>
  </si>
  <si>
    <t>ค้นหาไม่พบผลลัพธ์</t>
  </si>
  <si>
    <t>1. พิมพ์คำที่ไม่มีในระบบ</t>
  </si>
  <si>
    <t>คำค้น: zzzzzz</t>
  </si>
  <si>
    <t>แสดงข้อความ ไม่พบรายการ</t>
  </si>
  <si>
    <t>TC-FR12-04</t>
  </si>
  <si>
    <t>ช่วงวันที่สิ้นสุดก่อนวันเริ่มต้น</t>
  </si>
  <si>
    <t>1. เลือกวันเริ่ม 10 ต.ค. วันสิ้นสุด 1 ต.ค.</t>
  </si>
  <si>
    <t>แจ้งช่วงวันที่ไม่ถูกต้อง</t>
  </si>
  <si>
    <t>TC-FR12-05</t>
  </si>
  <si>
    <t>คำค้นที่มีอักขระพิเศษ / SQL injection</t>
  </si>
  <si>
    <t>1. พิมพ์คำค้นอันตราย</t>
  </si>
  <si>
    <t>' OR 1=1 --</t>
  </si>
  <si>
    <t>ระบบไม่ error ไม่คืนข้อมูลเกิน</t>
  </si>
  <si>
    <t>TC-FR13-01</t>
  </si>
  <si>
    <t>รายงานและสถิติ</t>
  </si>
  <si>
    <t>ดูสถิติรายวัน/เดือน/ปี</t>
  </si>
  <si>
    <t>Login เป็น Admin</t>
  </si>
  <si>
    <t>1. เปิด Dashboard / สถิติ
2. สลับมุมมองวัน เดือน ปี</t>
  </si>
  <si>
    <t>ตัวเลขตรงกับข้อมูลในฐาน</t>
  </si>
  <si>
    <t>TC-FR13-02</t>
  </si>
  <si>
    <t>Export รายงานเป็น PDF</t>
  </si>
  <si>
    <t>1. เปิดหน้ารายงาน
2. กด Export PDF</t>
  </si>
  <si>
    <t>ได้ไฟล์ PDF ภาษาไทยอ่านได้ ระบุขอบเขตวันที่</t>
  </si>
  <si>
    <t>TC-FR13-03</t>
  </si>
  <si>
    <t>Export รายงานเป็น Excel</t>
  </si>
  <si>
    <t>1. กด Export Excel</t>
  </si>
  <si>
    <t>ได้ไฟล์ .xlsx ข้อมูลตรงกับหน้าจอ</t>
  </si>
  <si>
    <t>TC-FR13-04</t>
  </si>
  <si>
    <t>นิสิตเข้าหน้า Admin</t>
  </si>
  <si>
    <t>1. เปิด URL /admin โดยตรง</t>
  </si>
  <si>
    <t>ถูกปฏิเสธ หรือ redirect</t>
  </si>
  <si>
    <t>TC-FR14-01</t>
  </si>
  <si>
    <t>จัดการผู้ใช้</t>
  </si>
  <si>
    <t>Super Admin เพิ่มผู้ใช้ใหม่</t>
  </si>
  <si>
    <t>1. เปิดหน้าผู้ใช้
2. กด เพิ่ม กรอกข้อมูล
3. บันทึก</t>
  </si>
  <si>
    <t>อีเมล: newuser@ku.th, role: student</t>
  </si>
  <si>
    <t>ผู้ใช้ใหม่ปรากฏในรายการ ขอ OTP ได้</t>
  </si>
  <si>
    <t>TC-FR14-02</t>
  </si>
  <si>
    <t>เพิ่มผู้ใช้ด้วยอีเมลซ้ำ</t>
  </si>
  <si>
    <t>มีอีเมลนี้อยู่แล้ว</t>
  </si>
  <si>
    <t>1. เพิ่มผู้ใช้ด้วยอีเมลเดิม</t>
  </si>
  <si>
    <t>อีเมลที่มีอยู่แล้ว</t>
  </si>
  <si>
    <t>แจ้งอีเมลซ้ำ ไม่บันทึก</t>
  </si>
  <si>
    <t>TC-FR14-03</t>
  </si>
  <si>
    <t>เปลี่ยน role ผู้ใช้</t>
  </si>
  <si>
    <t>1. แก้ role ผู้ใช้เป็น staff
2. ผู้ใช้นั้น Login ใหม่</t>
  </si>
  <si>
    <t>ผู้ใช้เข้าหน้าเจ้าหน้าที่ได้ตาม role ใหม่</t>
  </si>
  <si>
    <t>TC-FR14-04</t>
  </si>
  <si>
    <t>Staff (ไม่ใช่ Super Admin) จัดการผู้ใช้</t>
  </si>
  <si>
    <t>Login เป็น Staff</t>
  </si>
  <si>
    <t>1. เปิดหน้าจัดการผู้ใช้ / เรียก API</t>
  </si>
  <si>
    <t>ถูกปฏิเสธ 403</t>
  </si>
  <si>
    <t>TC-FR14-05</t>
  </si>
  <si>
    <t>จัดการจุดฝาก</t>
  </si>
  <si>
    <t>เพิ่ม/แก้ไขจุดรับฝาก</t>
  </si>
  <si>
    <t>1. เพิ่มจุดฝากพร้อมพิกัดและเวลาทำการ
2. แก้ไขเวลาทำการ</t>
  </si>
  <si>
    <t>ชื่อ: จุดฝากทดสอบ</t>
  </si>
  <si>
    <t>จุดฝากแสดงในแผนที่และตัวเลือกจุดฝาก</t>
  </si>
  <si>
    <t>TC-FR15-01</t>
  </si>
  <si>
    <t>Audit trail</t>
  </si>
  <si>
    <t>บันทึกการเปลี่ยนสถานะทุกครั้ง</t>
  </si>
  <si>
    <t>มีรายการที่เปลี่ยนสถานะหลายครั้ง</t>
  </si>
  <si>
    <t>1. เปิดประวัติการคืน / audit ของรายการ</t>
  </si>
  <si>
    <t>เห็นทุกการเปลี่ยนสถานะ พร้อมผู้ทำ เวลา สถานะก่อน/หลัง</t>
  </si>
  <si>
    <t>TC-NFR-01</t>
  </si>
  <si>
    <t>Responsive</t>
  </si>
  <si>
    <t>ใช้งานบนมือถือ (กว้าง 390px)</t>
  </si>
  <si>
    <t>1. เปิดหน้าหลัก ฟอร์ม และ Admin บนมือถือ</t>
  </si>
  <si>
    <t>iPhone / Android</t>
  </si>
  <si>
    <t>ไม่มี scroll แนวนอน ปุ่มกดได้ เนื้อหาไม่ล้น</t>
  </si>
  <si>
    <t>Usability</t>
  </si>
  <si>
    <t>TC-NFR-02</t>
  </si>
  <si>
    <t>ภาษา</t>
  </si>
  <si>
    <t>สลับภาษาไทย/อังกฤษ</t>
  </si>
  <si>
    <t>1. กดสลับภาษา
2. ตรวจเมนู ปุ่ม ข้อความแจ้งเตือน</t>
  </si>
  <si>
    <t>UI เปลี่ยนภาษา ข้อมูลที่ผู้ใช้กรอกไม่ถูกแปล</t>
  </si>
  <si>
    <t>TC-NFR-03</t>
  </si>
  <si>
    <t>Accessibility</t>
  </si>
  <si>
    <t>ใช้งานด้วยคีย์บอร์ดอย่างเดียว</t>
  </si>
  <si>
    <t>1. ใช้ Tab/Enter/Esc กรอกฟอร์มแจ้งของหาย และปิด dialog</t>
  </si>
  <si>
    <t>โฟกัสมองเห็นได้ ทำงานครบโดยไม่ใช้เมาส์</t>
  </si>
  <si>
    <t>TC-NFR-04</t>
  </si>
  <si>
    <t>เชื่อมต่อผ่าน HTTPS</t>
  </si>
  <si>
    <t>Deploy production</t>
  </si>
  <si>
    <t>1. เปิดเว็บด้วย http://</t>
  </si>
  <si>
    <t>ถูก redirect ไป https:// ใบรับรองถูกต้อง</t>
  </si>
  <si>
    <t>TC-NFR-05</t>
  </si>
  <si>
    <t>ป้องกัน XSS ในช่องข้อความ</t>
  </si>
  <si>
    <t>1. แจ้งของหายโดยใส่สคริปต์ในรายละเอียด
2. เปิดดูรายการ</t>
  </si>
  <si>
    <t>&lt;script&gt;alert(1)&lt;/script&gt;</t>
  </si>
  <si>
    <t>แสดงเป็นข้อความธรรมดา ไม่รันสคริปต์</t>
  </si>
  <si>
    <t>TC-NFR-06</t>
  </si>
  <si>
    <t>PDPA</t>
  </si>
  <si>
    <t>หน้าประกาศความเป็นส่วนตัว</t>
  </si>
  <si>
    <t>1. เปิดหน้า Privacy</t>
  </si>
  <si>
    <t>มีผู้ควบคุมข้อมูล ฐานการประมวลผล ระยะเก็บ และช่องทางยื่นคำขอ</t>
  </si>
  <si>
    <t>Compliance</t>
  </si>
  <si>
    <t>รหัส</t>
  </si>
  <si>
    <t>ข้อกำหนด</t>
  </si>
  <si>
    <t>จำนวน Test Case</t>
  </si>
  <si>
    <t>เข้าสู่ระบบด้วย @ku.th + OTP ครั้งแรก ตั้งรหัสผ่าน reset/logout/session หมดอายุ</t>
  </si>
  <si>
    <t>สูง</t>
  </si>
  <si>
    <t>แจ้งของหาย ระบุประเภท ยี่ห้อ/รุ่น ลักษณะเฉพาะ วันเวลา สถานที่ สี แนบภาพ</t>
  </si>
  <si>
    <t>แจ้งของพบ ระบุจุดฝาก เจ้าหน้าที่อัปเดตจุดฝากได้</t>
  </si>
  <si>
    <t>จับคู่อัตโนมัติจากประเภท สี สถานที่ ช่วงเวลา พร้อม confidence score</t>
  </si>
  <si>
    <t>แจ้งเตือนทั้งสองฝ่ายเมื่อพบคู่ (อีเมล / in-app)</t>
  </si>
  <si>
    <t>ปกปิดลักษณะเฉพาะจากรายการทั่วไป</t>
  </si>
  <si>
    <t>ขอรับคืน ตอบลักษณะเฉพาะ เจ้าหน้าที่ตรวจก่อนส่งมอบ</t>
  </si>
  <si>
    <t>ติดตามสถานะรายงานของตนเอง</t>
  </si>
  <si>
    <t>กลาง</t>
  </si>
  <si>
    <t>แสดงจุดฝาก แผนที่ และเวลาทำการ</t>
  </si>
  <si>
    <t>เจ้าหน้าที่รับฝาก ย้ายจุด ส่งคืน จำหน่าย/บริจาค</t>
  </si>
  <si>
    <t>กำหนดระยะเก็บ แจ้งเตือนก่อนครบกำหนด</t>
  </si>
  <si>
    <t>ค้นหาและกรองตามประเภท วันที่ สถานที่ สถานะ</t>
  </si>
  <si>
    <t>สถิติ รายงาน Export PDF/Excel</t>
  </si>
  <si>
    <t>จัดการบัญชี บทบาท และจุดรับฝาก</t>
  </si>
  <si>
    <t>Audit trail การเปลี่ยนสถานะ</t>
  </si>
  <si>
    <t>ต่ำ</t>
  </si>
  <si>
    <t>Security, PDPA, Performance, Usability, Localization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</si>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</sst>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0.0%"/>
    <numFmt numFmtId="188" formatCode="dd/mm/yyyy"/>
  </numFmts>
  <fonts count="6">
    <font>
      <sz val="11"/>
      <color theme="1"/>
      <name val="Tahoma"/>
      <family val="2"/>
      <scheme val="minor"/>
    </font>
    <font>
      <b/>
      <sz val="15"/>
      <color rgb="FFFFFFFF"/>
      <name val="TH Sarabun New"/>
    </font>
    <font>
      <sz val="14"/>
      <name val="TH Sarabun New"/>
    </font>
    <font>
      <b/>
      <sz val="22"/>
      <color rgb="FF1F5F3F"/>
      <name val="TH Sarabun New"/>
    </font>
    <font>
      <b/>
      <sz val="14"/>
      <name val="TH Sarabun New"/>
    </font>
    <font>
      <i/>
      <sz val="13"/>
      <color rgb="FF595959"/>
      <name val="TH Sarabun New"/>
    </font>
  </fonts>
  <fills count="4">
    <fill>
      <patternFill patternType="none"/>
    </fill>
    <fill>
      <patternFill patternType="gray125"/>
    </fill>
    <fill>
      <patternFill patternType="solid">
        <fgColor rgb="FF1F5F3F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7C4D1"/>
      </left>
      <right style="thin">
        <color rgb="FFB7C4D1"/>
      </right>
      <top style="thin">
        <color rgb="FFB7C4D1"/>
      </top>
      <bottom style="thin">
        <color rgb="FFB7C4D1"/>
      </bottom>
      <diagonal/>
    </border>
    <border>
      <left/>
      <right/>
      <top/>
      <bottom style="thin">
        <color rgb="FFB7C4D1"/>
      </bottom>
      <diagonal/>
    </border>
    <border>
      <left/>
      <right/>
      <top/>
      <bottom style="thin">
        <color rgb="FFB7C4D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87" fontId="2" fillId="0" borderId="1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87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188" fontId="2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0" fillId="0" borderId="3" xfId="0" applyBorder="1"/>
  </cellXfs>
  <cellStyles count="1">
    <cellStyle name="Normal" xfId="0" builtinId="0"/>
  </cellStyles>
  <dxfs count="4">
    <dxf>
      <font>
        <b/>
        <color rgb="FF595959"/>
        <name val="TH Sarabun New"/>
      </font>
      <fill>
        <patternFill patternType="solid">
          <fgColor rgb="FFE7E6E6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workbookViewId="0"/>
  </sheetViews>
  <sheetFormatPr defaultRowHeight="14.25"/>
  <cols>
    <col min="1" max="1" width="30" customWidth="1"/>
    <col min="2" max="7" width="14" customWidth="1"/>
  </cols>
  <sheetData>
    <row r="1" spans="1:7" ht="27.75">
      <c r="A1" s="1" t="s">
        <v>0</v>
      </c>
    </row>
    <row r="3" spans="1:7" ht="18">
      <c r="A3" s="2" t="s">
        <v>1</v>
      </c>
      <c r="B3" s="17" t="s">
        <v>2</v>
      </c>
      <c r="C3" s="18"/>
      <c r="D3" s="18"/>
      <c r="E3" s="18"/>
      <c r="F3" s="18"/>
      <c r="G3" s="18"/>
    </row>
    <row r="4" spans="1:7" ht="18">
      <c r="A4" s="2" t="s">
        <v>3</v>
      </c>
      <c r="B4" s="17" t="s">
        <v>4</v>
      </c>
      <c r="C4" s="18"/>
      <c r="D4" s="18"/>
      <c r="E4" s="18"/>
      <c r="F4" s="18"/>
      <c r="G4" s="18"/>
    </row>
    <row r="5" spans="1:7" ht="18">
      <c r="A5" s="2" t="s">
        <v>5</v>
      </c>
      <c r="B5" s="17" t="s">
        <v>6</v>
      </c>
      <c r="C5" s="18"/>
      <c r="D5" s="18"/>
      <c r="E5" s="18"/>
      <c r="F5" s="18"/>
      <c r="G5" s="18"/>
    </row>
    <row r="6" spans="1:7" ht="18">
      <c r="A6" s="2" t="s">
        <v>7</v>
      </c>
      <c r="B6" s="17"/>
      <c r="C6" s="18"/>
      <c r="D6" s="18"/>
      <c r="E6" s="18"/>
      <c r="F6" s="18"/>
      <c r="G6" s="18"/>
    </row>
    <row r="7" spans="1:7" ht="18">
      <c r="A7" s="2" t="s">
        <v>8</v>
      </c>
      <c r="B7" s="17"/>
      <c r="C7" s="18"/>
      <c r="D7" s="18"/>
      <c r="E7" s="18"/>
      <c r="F7" s="18"/>
      <c r="G7" s="18"/>
    </row>
    <row r="8" spans="1:7" ht="18">
      <c r="A8" s="2" t="s">
        <v>9</v>
      </c>
      <c r="B8" s="17"/>
      <c r="C8" s="18"/>
      <c r="D8" s="18"/>
      <c r="E8" s="18"/>
      <c r="F8" s="18"/>
      <c r="G8" s="18"/>
    </row>
    <row r="11" spans="1:7" ht="19.5">
      <c r="A11" s="3" t="s">
        <v>10</v>
      </c>
      <c r="B11" s="3" t="s">
        <v>11</v>
      </c>
      <c r="C11" s="3" t="s">
        <v>12</v>
      </c>
      <c r="D11" s="3" t="s">
        <v>13</v>
      </c>
      <c r="E11" s="3" t="s">
        <v>14</v>
      </c>
      <c r="F11" s="3" t="s">
        <v>15</v>
      </c>
      <c r="G11" s="3" t="s">
        <v>16</v>
      </c>
    </row>
    <row r="12" spans="1:7" ht="18">
      <c r="A12" s="4" t="s">
        <v>17</v>
      </c>
      <c r="B12" s="5">
        <f>COUNTIF('Test Cases'!$B$2:$B$283,A12)</f>
        <v>22</v>
      </c>
      <c r="C12" s="5">
        <f>COUNTIFS('Test Cases'!$B$2:$B$283,$A12,'Test Cases'!$J$2:$J$283,"Pass")</f>
        <v>0</v>
      </c>
      <c r="D12" s="5">
        <f>COUNTIFS('Test Cases'!$B$2:$B$283,$A12,'Test Cases'!$J$2:$J$283,"Fail")</f>
        <v>0</v>
      </c>
      <c r="E12" s="5">
        <f>COUNTIFS('Test Cases'!$B$2:$B$283,$A12,'Test Cases'!$J$2:$J$283,"Blocked")</f>
        <v>0</v>
      </c>
      <c r="F12" s="5">
        <f>COUNTIFS('Test Cases'!$B$2:$B$283,$A12,'Test Cases'!$J$2:$J$283,"Not Run")</f>
        <v>22</v>
      </c>
      <c r="G12" s="6" t="str">
        <f t="shared" ref="G12:G28" si="0">IF((C12+D12)=0,"-",C12/(C12+D12))</f>
        <v>-</v>
      </c>
    </row>
    <row r="13" spans="1:7" ht="18">
      <c r="A13" s="4" t="s">
        <v>18</v>
      </c>
      <c r="B13" s="5">
        <f>COUNTIF('Test Cases'!$B$2:$B$283,A13)</f>
        <v>10</v>
      </c>
      <c r="C13" s="5">
        <f>COUNTIFS('Test Cases'!$B$2:$B$283,$A13,'Test Cases'!$J$2:$J$283,"Pass")</f>
        <v>0</v>
      </c>
      <c r="D13" s="5">
        <f>COUNTIFS('Test Cases'!$B$2:$B$283,$A13,'Test Cases'!$J$2:$J$283,"Fail")</f>
        <v>0</v>
      </c>
      <c r="E13" s="5">
        <f>COUNTIFS('Test Cases'!$B$2:$B$283,$A13,'Test Cases'!$J$2:$J$283,"Blocked")</f>
        <v>0</v>
      </c>
      <c r="F13" s="5">
        <f>COUNTIFS('Test Cases'!$B$2:$B$283,$A13,'Test Cases'!$J$2:$J$283,"Not Run")</f>
        <v>10</v>
      </c>
      <c r="G13" s="6" t="str">
        <f t="shared" si="0"/>
        <v>-</v>
      </c>
    </row>
    <row r="14" spans="1:7" ht="18">
      <c r="A14" s="4" t="s">
        <v>19</v>
      </c>
      <c r="B14" s="5">
        <f>COUNTIF('Test Cases'!$B$2:$B$283,A14)</f>
        <v>4</v>
      </c>
      <c r="C14" s="5">
        <f>COUNTIFS('Test Cases'!$B$2:$B$283,$A14,'Test Cases'!$J$2:$J$283,"Pass")</f>
        <v>0</v>
      </c>
      <c r="D14" s="5">
        <f>COUNTIFS('Test Cases'!$B$2:$B$283,$A14,'Test Cases'!$J$2:$J$283,"Fail")</f>
        <v>0</v>
      </c>
      <c r="E14" s="5">
        <f>COUNTIFS('Test Cases'!$B$2:$B$283,$A14,'Test Cases'!$J$2:$J$283,"Blocked")</f>
        <v>0</v>
      </c>
      <c r="F14" s="5">
        <f>COUNTIFS('Test Cases'!$B$2:$B$283,$A14,'Test Cases'!$J$2:$J$283,"Not Run")</f>
        <v>4</v>
      </c>
      <c r="G14" s="6" t="str">
        <f t="shared" si="0"/>
        <v>-</v>
      </c>
    </row>
    <row r="15" spans="1:7" ht="18">
      <c r="A15" s="4" t="s">
        <v>20</v>
      </c>
      <c r="B15" s="5">
        <f>COUNTIF('Test Cases'!$B$2:$B$283,A15)</f>
        <v>4</v>
      </c>
      <c r="C15" s="5">
        <f>COUNTIFS('Test Cases'!$B$2:$B$283,$A15,'Test Cases'!$J$2:$J$283,"Pass")</f>
        <v>0</v>
      </c>
      <c r="D15" s="5">
        <f>COUNTIFS('Test Cases'!$B$2:$B$283,$A15,'Test Cases'!$J$2:$J$283,"Fail")</f>
        <v>0</v>
      </c>
      <c r="E15" s="5">
        <f>COUNTIFS('Test Cases'!$B$2:$B$283,$A15,'Test Cases'!$J$2:$J$283,"Blocked")</f>
        <v>0</v>
      </c>
      <c r="F15" s="5">
        <f>COUNTIFS('Test Cases'!$B$2:$B$283,$A15,'Test Cases'!$J$2:$J$283,"Not Run")</f>
        <v>4</v>
      </c>
      <c r="G15" s="6" t="str">
        <f t="shared" si="0"/>
        <v>-</v>
      </c>
    </row>
    <row r="16" spans="1:7" ht="18">
      <c r="A16" s="4" t="s">
        <v>21</v>
      </c>
      <c r="B16" s="5">
        <f>COUNTIF('Test Cases'!$B$2:$B$283,A16)</f>
        <v>2</v>
      </c>
      <c r="C16" s="5">
        <f>COUNTIFS('Test Cases'!$B$2:$B$283,$A16,'Test Cases'!$J$2:$J$283,"Pass")</f>
        <v>0</v>
      </c>
      <c r="D16" s="5">
        <f>COUNTIFS('Test Cases'!$B$2:$B$283,$A16,'Test Cases'!$J$2:$J$283,"Fail")</f>
        <v>0</v>
      </c>
      <c r="E16" s="5">
        <f>COUNTIFS('Test Cases'!$B$2:$B$283,$A16,'Test Cases'!$J$2:$J$283,"Blocked")</f>
        <v>0</v>
      </c>
      <c r="F16" s="5">
        <f>COUNTIFS('Test Cases'!$B$2:$B$283,$A16,'Test Cases'!$J$2:$J$283,"Not Run")</f>
        <v>2</v>
      </c>
      <c r="G16" s="6" t="str">
        <f t="shared" si="0"/>
        <v>-</v>
      </c>
    </row>
    <row r="17" spans="1:7" ht="18">
      <c r="A17" s="4" t="s">
        <v>22</v>
      </c>
      <c r="B17" s="5">
        <f>COUNTIF('Test Cases'!$B$2:$B$283,A17)</f>
        <v>3</v>
      </c>
      <c r="C17" s="5">
        <f>COUNTIFS('Test Cases'!$B$2:$B$283,$A17,'Test Cases'!$J$2:$J$283,"Pass")</f>
        <v>0</v>
      </c>
      <c r="D17" s="5">
        <f>COUNTIFS('Test Cases'!$B$2:$B$283,$A17,'Test Cases'!$J$2:$J$283,"Fail")</f>
        <v>0</v>
      </c>
      <c r="E17" s="5">
        <f>COUNTIFS('Test Cases'!$B$2:$B$283,$A17,'Test Cases'!$J$2:$J$283,"Blocked")</f>
        <v>0</v>
      </c>
      <c r="F17" s="5">
        <f>COUNTIFS('Test Cases'!$B$2:$B$283,$A17,'Test Cases'!$J$2:$J$283,"Not Run")</f>
        <v>3</v>
      </c>
      <c r="G17" s="6" t="str">
        <f t="shared" si="0"/>
        <v>-</v>
      </c>
    </row>
    <row r="18" spans="1:7" ht="18">
      <c r="A18" s="4" t="s">
        <v>23</v>
      </c>
      <c r="B18" s="5">
        <f>COUNTIF('Test Cases'!$B$2:$B$283,A18)</f>
        <v>6</v>
      </c>
      <c r="C18" s="5">
        <f>COUNTIFS('Test Cases'!$B$2:$B$283,$A18,'Test Cases'!$J$2:$J$283,"Pass")</f>
        <v>0</v>
      </c>
      <c r="D18" s="5">
        <f>COUNTIFS('Test Cases'!$B$2:$B$283,$A18,'Test Cases'!$J$2:$J$283,"Fail")</f>
        <v>0</v>
      </c>
      <c r="E18" s="5">
        <f>COUNTIFS('Test Cases'!$B$2:$B$283,$A18,'Test Cases'!$J$2:$J$283,"Blocked")</f>
        <v>0</v>
      </c>
      <c r="F18" s="5">
        <f>COUNTIFS('Test Cases'!$B$2:$B$283,$A18,'Test Cases'!$J$2:$J$283,"Not Run")</f>
        <v>6</v>
      </c>
      <c r="G18" s="6" t="str">
        <f t="shared" si="0"/>
        <v>-</v>
      </c>
    </row>
    <row r="19" spans="1:7" ht="18">
      <c r="A19" s="4" t="s">
        <v>24</v>
      </c>
      <c r="B19" s="5">
        <f>COUNTIF('Test Cases'!$B$2:$B$283,A19)</f>
        <v>3</v>
      </c>
      <c r="C19" s="5">
        <f>COUNTIFS('Test Cases'!$B$2:$B$283,$A19,'Test Cases'!$J$2:$J$283,"Pass")</f>
        <v>0</v>
      </c>
      <c r="D19" s="5">
        <f>COUNTIFS('Test Cases'!$B$2:$B$283,$A19,'Test Cases'!$J$2:$J$283,"Fail")</f>
        <v>0</v>
      </c>
      <c r="E19" s="5">
        <f>COUNTIFS('Test Cases'!$B$2:$B$283,$A19,'Test Cases'!$J$2:$J$283,"Blocked")</f>
        <v>0</v>
      </c>
      <c r="F19" s="5">
        <f>COUNTIFS('Test Cases'!$B$2:$B$283,$A19,'Test Cases'!$J$2:$J$283,"Not Run")</f>
        <v>3</v>
      </c>
      <c r="G19" s="6" t="str">
        <f t="shared" si="0"/>
        <v>-</v>
      </c>
    </row>
    <row r="20" spans="1:7" ht="18">
      <c r="A20" s="4" t="s">
        <v>25</v>
      </c>
      <c r="B20" s="5">
        <f>COUNTIF('Test Cases'!$B$2:$B$283,A20)</f>
        <v>2</v>
      </c>
      <c r="C20" s="5">
        <f>COUNTIFS('Test Cases'!$B$2:$B$283,$A20,'Test Cases'!$J$2:$J$283,"Pass")</f>
        <v>0</v>
      </c>
      <c r="D20" s="5">
        <f>COUNTIFS('Test Cases'!$B$2:$B$283,$A20,'Test Cases'!$J$2:$J$283,"Fail")</f>
        <v>0</v>
      </c>
      <c r="E20" s="5">
        <f>COUNTIFS('Test Cases'!$B$2:$B$283,$A20,'Test Cases'!$J$2:$J$283,"Blocked")</f>
        <v>0</v>
      </c>
      <c r="F20" s="5">
        <f>COUNTIFS('Test Cases'!$B$2:$B$283,$A20,'Test Cases'!$J$2:$J$283,"Not Run")</f>
        <v>2</v>
      </c>
      <c r="G20" s="6" t="str">
        <f t="shared" si="0"/>
        <v>-</v>
      </c>
    </row>
    <row r="21" spans="1:7" ht="18">
      <c r="A21" s="4" t="s">
        <v>26</v>
      </c>
      <c r="B21" s="5">
        <f>COUNTIF('Test Cases'!$B$2:$B$283,A21)</f>
        <v>3</v>
      </c>
      <c r="C21" s="5">
        <f>COUNTIFS('Test Cases'!$B$2:$B$283,$A21,'Test Cases'!$J$2:$J$283,"Pass")</f>
        <v>0</v>
      </c>
      <c r="D21" s="5">
        <f>COUNTIFS('Test Cases'!$B$2:$B$283,$A21,'Test Cases'!$J$2:$J$283,"Fail")</f>
        <v>0</v>
      </c>
      <c r="E21" s="5">
        <f>COUNTIFS('Test Cases'!$B$2:$B$283,$A21,'Test Cases'!$J$2:$J$283,"Blocked")</f>
        <v>0</v>
      </c>
      <c r="F21" s="5">
        <f>COUNTIFS('Test Cases'!$B$2:$B$283,$A21,'Test Cases'!$J$2:$J$283,"Not Run")</f>
        <v>3</v>
      </c>
      <c r="G21" s="6" t="str">
        <f t="shared" si="0"/>
        <v>-</v>
      </c>
    </row>
    <row r="22" spans="1:7" ht="18">
      <c r="A22" s="4" t="s">
        <v>27</v>
      </c>
      <c r="B22" s="5">
        <f>COUNTIF('Test Cases'!$B$2:$B$283,A22)</f>
        <v>2</v>
      </c>
      <c r="C22" s="5">
        <f>COUNTIFS('Test Cases'!$B$2:$B$283,$A22,'Test Cases'!$J$2:$J$283,"Pass")</f>
        <v>0</v>
      </c>
      <c r="D22" s="5">
        <f>COUNTIFS('Test Cases'!$B$2:$B$283,$A22,'Test Cases'!$J$2:$J$283,"Fail")</f>
        <v>0</v>
      </c>
      <c r="E22" s="5">
        <f>COUNTIFS('Test Cases'!$B$2:$B$283,$A22,'Test Cases'!$J$2:$J$283,"Blocked")</f>
        <v>0</v>
      </c>
      <c r="F22" s="5">
        <f>COUNTIFS('Test Cases'!$B$2:$B$283,$A22,'Test Cases'!$J$2:$J$283,"Not Run")</f>
        <v>2</v>
      </c>
      <c r="G22" s="6" t="str">
        <f t="shared" si="0"/>
        <v>-</v>
      </c>
    </row>
    <row r="23" spans="1:7" ht="18">
      <c r="A23" s="4" t="s">
        <v>28</v>
      </c>
      <c r="B23" s="5">
        <f>COUNTIF('Test Cases'!$B$2:$B$283,A23)</f>
        <v>5</v>
      </c>
      <c r="C23" s="5">
        <f>COUNTIFS('Test Cases'!$B$2:$B$283,$A23,'Test Cases'!$J$2:$J$283,"Pass")</f>
        <v>0</v>
      </c>
      <c r="D23" s="5">
        <f>COUNTIFS('Test Cases'!$B$2:$B$283,$A23,'Test Cases'!$J$2:$J$283,"Fail")</f>
        <v>0</v>
      </c>
      <c r="E23" s="5">
        <f>COUNTIFS('Test Cases'!$B$2:$B$283,$A23,'Test Cases'!$J$2:$J$283,"Blocked")</f>
        <v>0</v>
      </c>
      <c r="F23" s="5">
        <f>COUNTIFS('Test Cases'!$B$2:$B$283,$A23,'Test Cases'!$J$2:$J$283,"Not Run")</f>
        <v>5</v>
      </c>
      <c r="G23" s="6" t="str">
        <f t="shared" si="0"/>
        <v>-</v>
      </c>
    </row>
    <row r="24" spans="1:7" ht="18">
      <c r="A24" s="4" t="s">
        <v>29</v>
      </c>
      <c r="B24" s="5">
        <f>COUNTIF('Test Cases'!$B$2:$B$283,A24)</f>
        <v>4</v>
      </c>
      <c r="C24" s="5">
        <f>COUNTIFS('Test Cases'!$B$2:$B$283,$A24,'Test Cases'!$J$2:$J$283,"Pass")</f>
        <v>0</v>
      </c>
      <c r="D24" s="5">
        <f>COUNTIFS('Test Cases'!$B$2:$B$283,$A24,'Test Cases'!$J$2:$J$283,"Fail")</f>
        <v>0</v>
      </c>
      <c r="E24" s="5">
        <f>COUNTIFS('Test Cases'!$B$2:$B$283,$A24,'Test Cases'!$J$2:$J$283,"Blocked")</f>
        <v>0</v>
      </c>
      <c r="F24" s="5">
        <f>COUNTIFS('Test Cases'!$B$2:$B$283,$A24,'Test Cases'!$J$2:$J$283,"Not Run")</f>
        <v>4</v>
      </c>
      <c r="G24" s="6" t="str">
        <f t="shared" si="0"/>
        <v>-</v>
      </c>
    </row>
    <row r="25" spans="1:7" ht="18">
      <c r="A25" s="4" t="s">
        <v>30</v>
      </c>
      <c r="B25" s="5">
        <f>COUNTIF('Test Cases'!$B$2:$B$283,A25)</f>
        <v>5</v>
      </c>
      <c r="C25" s="5">
        <f>COUNTIFS('Test Cases'!$B$2:$B$283,$A25,'Test Cases'!$J$2:$J$283,"Pass")</f>
        <v>0</v>
      </c>
      <c r="D25" s="5">
        <f>COUNTIFS('Test Cases'!$B$2:$B$283,$A25,'Test Cases'!$J$2:$J$283,"Fail")</f>
        <v>0</v>
      </c>
      <c r="E25" s="5">
        <f>COUNTIFS('Test Cases'!$B$2:$B$283,$A25,'Test Cases'!$J$2:$J$283,"Blocked")</f>
        <v>0</v>
      </c>
      <c r="F25" s="5">
        <f>COUNTIFS('Test Cases'!$B$2:$B$283,$A25,'Test Cases'!$J$2:$J$283,"Not Run")</f>
        <v>5</v>
      </c>
      <c r="G25" s="6" t="str">
        <f t="shared" si="0"/>
        <v>-</v>
      </c>
    </row>
    <row r="26" spans="1:7" ht="18">
      <c r="A26" s="4" t="s">
        <v>31</v>
      </c>
      <c r="B26" s="5">
        <f>COUNTIF('Test Cases'!$B$2:$B$283,A26)</f>
        <v>1</v>
      </c>
      <c r="C26" s="5">
        <f>COUNTIFS('Test Cases'!$B$2:$B$283,$A26,'Test Cases'!$J$2:$J$283,"Pass")</f>
        <v>0</v>
      </c>
      <c r="D26" s="5">
        <f>COUNTIFS('Test Cases'!$B$2:$B$283,$A26,'Test Cases'!$J$2:$J$283,"Fail")</f>
        <v>0</v>
      </c>
      <c r="E26" s="5">
        <f>COUNTIFS('Test Cases'!$B$2:$B$283,$A26,'Test Cases'!$J$2:$J$283,"Blocked")</f>
        <v>0</v>
      </c>
      <c r="F26" s="5">
        <f>COUNTIFS('Test Cases'!$B$2:$B$283,$A26,'Test Cases'!$J$2:$J$283,"Not Run")</f>
        <v>1</v>
      </c>
      <c r="G26" s="6" t="str">
        <f t="shared" si="0"/>
        <v>-</v>
      </c>
    </row>
    <row r="27" spans="1:7" ht="18">
      <c r="A27" s="4" t="s">
        <v>32</v>
      </c>
      <c r="B27" s="5">
        <f>COUNTIF('Test Cases'!$B$2:$B$283,A27)</f>
        <v>6</v>
      </c>
      <c r="C27" s="5">
        <f>COUNTIFS('Test Cases'!$B$2:$B$283,$A27,'Test Cases'!$J$2:$J$283,"Pass")</f>
        <v>0</v>
      </c>
      <c r="D27" s="5">
        <f>COUNTIFS('Test Cases'!$B$2:$B$283,$A27,'Test Cases'!$J$2:$J$283,"Fail")</f>
        <v>0</v>
      </c>
      <c r="E27" s="5">
        <f>COUNTIFS('Test Cases'!$B$2:$B$283,$A27,'Test Cases'!$J$2:$J$283,"Blocked")</f>
        <v>0</v>
      </c>
      <c r="F27" s="5">
        <f>COUNTIFS('Test Cases'!$B$2:$B$283,$A27,'Test Cases'!$J$2:$J$283,"Not Run")</f>
        <v>6</v>
      </c>
      <c r="G27" s="6" t="str">
        <f t="shared" si="0"/>
        <v>-</v>
      </c>
    </row>
    <row r="28" spans="1:7" ht="18">
      <c r="A28" s="7" t="s">
        <v>33</v>
      </c>
      <c r="B28" s="8">
        <f>SUM(B12:B27)</f>
        <v>82</v>
      </c>
      <c r="C28" s="8">
        <f>SUM(C12:C27)</f>
        <v>0</v>
      </c>
      <c r="D28" s="8">
        <f>SUM(D12:D27)</f>
        <v>0</v>
      </c>
      <c r="E28" s="8">
        <f>SUM(E12:E27)</f>
        <v>0</v>
      </c>
      <c r="F28" s="8">
        <f>SUM(F12:F27)</f>
        <v>82</v>
      </c>
      <c r="G28" s="9" t="str">
        <f t="shared" si="0"/>
        <v>-</v>
      </c>
    </row>
    <row r="30" spans="1:7" ht="16.5">
      <c r="A30" s="10" t="s">
        <v>34</v>
      </c>
    </row>
    <row r="32" spans="1:7" ht="18">
      <c r="A32" s="11" t="s">
        <v>35</v>
      </c>
    </row>
    <row r="34" spans="1:1" ht="18">
      <c r="A34" s="11" t="s">
        <v>36</v>
      </c>
    </row>
    <row r="36" spans="1:1" ht="18">
      <c r="A36" s="11" t="s">
        <v>37</v>
      </c>
    </row>
  </sheetData>
  <mergeCells count="6">
    <mergeCell ref="B3:G3"/>
    <mergeCell ref="B5:G5"/>
    <mergeCell ref="B8:G8"/>
    <mergeCell ref="B4:G4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83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4.25"/>
  <cols>
    <col min="1" max="2" width="12" customWidth="1"/>
    <col min="3" max="3" width="16" customWidth="1"/>
    <col min="4" max="4" width="34" customWidth="1"/>
    <col min="5" max="5" width="30" customWidth="1"/>
    <col min="6" max="6" width="44" customWidth="1"/>
    <col min="7" max="7" width="28" customWidth="1"/>
    <col min="8" max="8" width="42" customWidth="1"/>
    <col min="9" max="9" width="30" customWidth="1"/>
    <col min="10" max="10" width="12" customWidth="1"/>
    <col min="11" max="11" width="11" customWidth="1"/>
    <col min="12" max="12" width="12" customWidth="1"/>
    <col min="13" max="13" width="14" customWidth="1"/>
    <col min="14" max="14" width="13" customWidth="1"/>
    <col min="15" max="15" width="22" customWidth="1"/>
  </cols>
  <sheetData>
    <row r="1" spans="1:15" ht="36" customHeight="1">
      <c r="A1" s="12" t="s">
        <v>38</v>
      </c>
      <c r="B1" s="12" t="s">
        <v>10</v>
      </c>
      <c r="C1" s="12" t="s">
        <v>39</v>
      </c>
      <c r="D1" s="12" t="s">
        <v>40</v>
      </c>
      <c r="E1" s="12" t="s">
        <v>41</v>
      </c>
      <c r="F1" s="12" t="s">
        <v>42</v>
      </c>
      <c r="G1" s="12" t="s">
        <v>43</v>
      </c>
      <c r="H1" s="12" t="s">
        <v>44</v>
      </c>
      <c r="I1" s="12" t="s">
        <v>45</v>
      </c>
      <c r="J1" s="12" t="s">
        <v>46</v>
      </c>
      <c r="K1" s="12" t="s">
        <v>47</v>
      </c>
      <c r="L1" s="12" t="s">
        <v>48</v>
      </c>
      <c r="M1" s="12" t="s">
        <v>8</v>
      </c>
      <c r="N1" s="12" t="s">
        <v>49</v>
      </c>
      <c r="O1" s="12" t="s">
        <v>50</v>
      </c>
    </row>
    <row r="2" spans="1:15" ht="80.099999999999994" customHeight="1">
      <c r="A2" s="13" t="s">
        <v>51</v>
      </c>
      <c r="B2" s="13" t="s">
        <v>17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56</v>
      </c>
      <c r="H2" s="14" t="s">
        <v>57</v>
      </c>
      <c r="I2" s="14"/>
      <c r="J2" s="13" t="s">
        <v>15</v>
      </c>
      <c r="K2" s="13" t="s">
        <v>58</v>
      </c>
      <c r="L2" s="13" t="s">
        <v>59</v>
      </c>
      <c r="M2" s="14"/>
      <c r="N2" s="15"/>
      <c r="O2" s="14"/>
    </row>
    <row r="3" spans="1:15" ht="80.099999999999994" customHeight="1">
      <c r="A3" s="13" t="s">
        <v>60</v>
      </c>
      <c r="B3" s="13" t="s">
        <v>17</v>
      </c>
      <c r="C3" s="14" t="s">
        <v>52</v>
      </c>
      <c r="D3" s="14" t="s">
        <v>61</v>
      </c>
      <c r="E3" s="14" t="s">
        <v>62</v>
      </c>
      <c r="F3" s="14" t="s">
        <v>63</v>
      </c>
      <c r="G3" s="14" t="s">
        <v>64</v>
      </c>
      <c r="H3" s="14" t="s">
        <v>65</v>
      </c>
      <c r="I3" s="14"/>
      <c r="J3" s="13" t="s">
        <v>15</v>
      </c>
      <c r="K3" s="13" t="s">
        <v>58</v>
      </c>
      <c r="L3" s="13" t="s">
        <v>66</v>
      </c>
      <c r="M3" s="14"/>
      <c r="N3" s="15"/>
      <c r="O3" s="14"/>
    </row>
    <row r="4" spans="1:15" ht="39.950000000000003" customHeight="1">
      <c r="A4" s="13" t="s">
        <v>67</v>
      </c>
      <c r="B4" s="13" t="s">
        <v>17</v>
      </c>
      <c r="C4" s="14" t="s">
        <v>52</v>
      </c>
      <c r="D4" s="14" t="s">
        <v>68</v>
      </c>
      <c r="E4" s="14" t="s">
        <v>69</v>
      </c>
      <c r="F4" s="14" t="s">
        <v>70</v>
      </c>
      <c r="G4" s="14" t="s">
        <v>71</v>
      </c>
      <c r="H4" s="14" t="s">
        <v>72</v>
      </c>
      <c r="I4" s="14"/>
      <c r="J4" s="13" t="s">
        <v>15</v>
      </c>
      <c r="K4" s="13" t="s">
        <v>58</v>
      </c>
      <c r="L4" s="13" t="s">
        <v>66</v>
      </c>
      <c r="M4" s="14"/>
      <c r="N4" s="15"/>
      <c r="O4" s="14"/>
    </row>
    <row r="5" spans="1:15" ht="60" customHeight="1">
      <c r="A5" s="13" t="s">
        <v>73</v>
      </c>
      <c r="B5" s="13" t="s">
        <v>17</v>
      </c>
      <c r="C5" s="14" t="s">
        <v>52</v>
      </c>
      <c r="D5" s="14" t="s">
        <v>74</v>
      </c>
      <c r="E5" s="14" t="s">
        <v>75</v>
      </c>
      <c r="F5" s="14" t="s">
        <v>76</v>
      </c>
      <c r="G5" s="14" t="s">
        <v>77</v>
      </c>
      <c r="H5" s="14" t="s">
        <v>78</v>
      </c>
      <c r="I5" s="14"/>
      <c r="J5" s="13" t="s">
        <v>15</v>
      </c>
      <c r="K5" s="13" t="s">
        <v>58</v>
      </c>
      <c r="L5" s="13" t="s">
        <v>66</v>
      </c>
      <c r="M5" s="14"/>
      <c r="N5" s="15"/>
      <c r="O5" s="14"/>
    </row>
    <row r="6" spans="1:15" ht="39.950000000000003" customHeight="1">
      <c r="A6" s="13" t="s">
        <v>79</v>
      </c>
      <c r="B6" s="13" t="s">
        <v>17</v>
      </c>
      <c r="C6" s="14" t="s">
        <v>52</v>
      </c>
      <c r="D6" s="14" t="s">
        <v>80</v>
      </c>
      <c r="E6" s="14" t="s">
        <v>81</v>
      </c>
      <c r="F6" s="14" t="s">
        <v>82</v>
      </c>
      <c r="G6" s="14" t="s">
        <v>83</v>
      </c>
      <c r="H6" s="14" t="s">
        <v>84</v>
      </c>
      <c r="I6" s="14"/>
      <c r="J6" s="13" t="s">
        <v>15</v>
      </c>
      <c r="K6" s="13" t="s">
        <v>58</v>
      </c>
      <c r="L6" s="13" t="s">
        <v>59</v>
      </c>
      <c r="M6" s="14"/>
      <c r="N6" s="15"/>
      <c r="O6" s="14"/>
    </row>
    <row r="7" spans="1:15" ht="39.950000000000003" customHeight="1">
      <c r="A7" s="13" t="s">
        <v>85</v>
      </c>
      <c r="B7" s="13" t="s">
        <v>17</v>
      </c>
      <c r="C7" s="14" t="s">
        <v>52</v>
      </c>
      <c r="D7" s="14" t="s">
        <v>86</v>
      </c>
      <c r="E7" s="14" t="s">
        <v>87</v>
      </c>
      <c r="F7" s="14" t="s">
        <v>88</v>
      </c>
      <c r="G7" s="14" t="s">
        <v>89</v>
      </c>
      <c r="H7" s="14" t="s">
        <v>90</v>
      </c>
      <c r="I7" s="14"/>
      <c r="J7" s="13" t="s">
        <v>15</v>
      </c>
      <c r="K7" s="13" t="s">
        <v>58</v>
      </c>
      <c r="L7" s="13" t="s">
        <v>66</v>
      </c>
      <c r="M7" s="14"/>
      <c r="N7" s="15"/>
      <c r="O7" s="14"/>
    </row>
    <row r="8" spans="1:15" ht="60" customHeight="1">
      <c r="A8" s="13" t="s">
        <v>91</v>
      </c>
      <c r="B8" s="13" t="s">
        <v>17</v>
      </c>
      <c r="C8" s="14" t="s">
        <v>52</v>
      </c>
      <c r="D8" s="14" t="s">
        <v>92</v>
      </c>
      <c r="E8" s="14" t="s">
        <v>87</v>
      </c>
      <c r="F8" s="14" t="s">
        <v>93</v>
      </c>
      <c r="G8" s="14" t="s">
        <v>94</v>
      </c>
      <c r="H8" s="14" t="s">
        <v>95</v>
      </c>
      <c r="I8" s="14"/>
      <c r="J8" s="13" t="s">
        <v>15</v>
      </c>
      <c r="K8" s="13" t="s">
        <v>58</v>
      </c>
      <c r="L8" s="13" t="s">
        <v>96</v>
      </c>
      <c r="M8" s="14"/>
      <c r="N8" s="15"/>
      <c r="O8" s="14"/>
    </row>
    <row r="9" spans="1:15" ht="80.099999999999994" customHeight="1">
      <c r="A9" s="13" t="s">
        <v>97</v>
      </c>
      <c r="B9" s="13" t="s">
        <v>17</v>
      </c>
      <c r="C9" s="14" t="s">
        <v>52</v>
      </c>
      <c r="D9" s="14" t="s">
        <v>98</v>
      </c>
      <c r="E9" s="14" t="s">
        <v>99</v>
      </c>
      <c r="F9" s="14" t="s">
        <v>100</v>
      </c>
      <c r="G9" s="14" t="s">
        <v>83</v>
      </c>
      <c r="H9" s="14" t="s">
        <v>101</v>
      </c>
      <c r="I9" s="14"/>
      <c r="J9" s="13" t="s">
        <v>15</v>
      </c>
      <c r="K9" s="13" t="s">
        <v>58</v>
      </c>
      <c r="L9" s="13" t="s">
        <v>96</v>
      </c>
      <c r="M9" s="14"/>
      <c r="N9" s="15"/>
      <c r="O9" s="14"/>
    </row>
    <row r="10" spans="1:15" ht="60" customHeight="1">
      <c r="A10" s="13" t="s">
        <v>102</v>
      </c>
      <c r="B10" s="13" t="s">
        <v>17</v>
      </c>
      <c r="C10" s="14" t="s">
        <v>52</v>
      </c>
      <c r="D10" s="14" t="s">
        <v>103</v>
      </c>
      <c r="E10" s="14" t="s">
        <v>104</v>
      </c>
      <c r="F10" s="14" t="s">
        <v>105</v>
      </c>
      <c r="G10" s="14" t="s">
        <v>106</v>
      </c>
      <c r="H10" s="14" t="s">
        <v>107</v>
      </c>
      <c r="I10" s="14"/>
      <c r="J10" s="13" t="s">
        <v>15</v>
      </c>
      <c r="K10" s="13" t="s">
        <v>108</v>
      </c>
      <c r="L10" s="13" t="s">
        <v>66</v>
      </c>
      <c r="M10" s="14"/>
      <c r="N10" s="15"/>
      <c r="O10" s="14"/>
    </row>
    <row r="11" spans="1:15" ht="39.950000000000003" customHeight="1">
      <c r="A11" s="13" t="s">
        <v>109</v>
      </c>
      <c r="B11" s="13" t="s">
        <v>17</v>
      </c>
      <c r="C11" s="14" t="s">
        <v>52</v>
      </c>
      <c r="D11" s="14" t="s">
        <v>110</v>
      </c>
      <c r="E11" s="14" t="s">
        <v>62</v>
      </c>
      <c r="F11" s="14" t="s">
        <v>111</v>
      </c>
      <c r="G11" s="14" t="s">
        <v>112</v>
      </c>
      <c r="H11" s="14" t="s">
        <v>113</v>
      </c>
      <c r="I11" s="14"/>
      <c r="J11" s="13" t="s">
        <v>15</v>
      </c>
      <c r="K11" s="13" t="s">
        <v>108</v>
      </c>
      <c r="L11" s="13" t="s">
        <v>114</v>
      </c>
      <c r="M11" s="14"/>
      <c r="N11" s="15"/>
      <c r="O11" s="14"/>
    </row>
    <row r="12" spans="1:15" ht="60" customHeight="1">
      <c r="A12" s="13" t="s">
        <v>115</v>
      </c>
      <c r="B12" s="13" t="s">
        <v>17</v>
      </c>
      <c r="C12" s="14" t="s">
        <v>52</v>
      </c>
      <c r="D12" s="14" t="s">
        <v>116</v>
      </c>
      <c r="E12" s="14" t="s">
        <v>117</v>
      </c>
      <c r="F12" s="14" t="s">
        <v>118</v>
      </c>
      <c r="G12" s="14" t="s">
        <v>119</v>
      </c>
      <c r="H12" s="14" t="s">
        <v>120</v>
      </c>
      <c r="I12" s="14"/>
      <c r="J12" s="13" t="s">
        <v>15</v>
      </c>
      <c r="K12" s="13" t="s">
        <v>58</v>
      </c>
      <c r="L12" s="13" t="s">
        <v>96</v>
      </c>
      <c r="M12" s="14"/>
      <c r="N12" s="15"/>
      <c r="O12" s="14"/>
    </row>
    <row r="13" spans="1:15" ht="39.950000000000003" customHeight="1">
      <c r="A13" s="13" t="s">
        <v>121</v>
      </c>
      <c r="B13" s="13" t="s">
        <v>17</v>
      </c>
      <c r="C13" s="14" t="s">
        <v>52</v>
      </c>
      <c r="D13" s="14" t="s">
        <v>122</v>
      </c>
      <c r="E13" s="14" t="s">
        <v>117</v>
      </c>
      <c r="F13" s="14" t="s">
        <v>123</v>
      </c>
      <c r="G13" s="14" t="s">
        <v>124</v>
      </c>
      <c r="H13" s="14" t="s">
        <v>125</v>
      </c>
      <c r="I13" s="14"/>
      <c r="J13" s="13" t="s">
        <v>15</v>
      </c>
      <c r="K13" s="13" t="s">
        <v>58</v>
      </c>
      <c r="L13" s="13" t="s">
        <v>96</v>
      </c>
      <c r="M13" s="14"/>
      <c r="N13" s="15"/>
      <c r="O13" s="14"/>
    </row>
    <row r="14" spans="1:15" ht="39.950000000000003" customHeight="1">
      <c r="A14" s="13" t="s">
        <v>126</v>
      </c>
      <c r="B14" s="13" t="s">
        <v>17</v>
      </c>
      <c r="C14" s="14" t="s">
        <v>52</v>
      </c>
      <c r="D14" s="14" t="s">
        <v>127</v>
      </c>
      <c r="E14" s="14" t="s">
        <v>117</v>
      </c>
      <c r="F14" s="14" t="s">
        <v>128</v>
      </c>
      <c r="G14" s="14" t="s">
        <v>129</v>
      </c>
      <c r="H14" s="14" t="s">
        <v>130</v>
      </c>
      <c r="I14" s="14"/>
      <c r="J14" s="13" t="s">
        <v>15</v>
      </c>
      <c r="K14" s="13" t="s">
        <v>108</v>
      </c>
      <c r="L14" s="13" t="s">
        <v>96</v>
      </c>
      <c r="M14" s="14"/>
      <c r="N14" s="15"/>
      <c r="O14" s="14"/>
    </row>
    <row r="15" spans="1:15" ht="60" customHeight="1">
      <c r="A15" s="13" t="s">
        <v>131</v>
      </c>
      <c r="B15" s="13" t="s">
        <v>17</v>
      </c>
      <c r="C15" s="14" t="s">
        <v>52</v>
      </c>
      <c r="D15" s="14" t="s">
        <v>132</v>
      </c>
      <c r="E15" s="14" t="s">
        <v>117</v>
      </c>
      <c r="F15" s="14" t="s">
        <v>133</v>
      </c>
      <c r="G15" s="14" t="s">
        <v>62</v>
      </c>
      <c r="H15" s="14" t="s">
        <v>134</v>
      </c>
      <c r="I15" s="14"/>
      <c r="J15" s="13" t="s">
        <v>15</v>
      </c>
      <c r="K15" s="13" t="s">
        <v>108</v>
      </c>
      <c r="L15" s="13" t="s">
        <v>66</v>
      </c>
      <c r="M15" s="14"/>
      <c r="N15" s="15"/>
      <c r="O15" s="14"/>
    </row>
    <row r="16" spans="1:15" ht="60" customHeight="1">
      <c r="A16" s="13" t="s">
        <v>135</v>
      </c>
      <c r="B16" s="13" t="s">
        <v>17</v>
      </c>
      <c r="C16" s="14" t="s">
        <v>52</v>
      </c>
      <c r="D16" s="14" t="s">
        <v>136</v>
      </c>
      <c r="E16" s="14" t="s">
        <v>137</v>
      </c>
      <c r="F16" s="14" t="s">
        <v>138</v>
      </c>
      <c r="G16" s="14" t="s">
        <v>139</v>
      </c>
      <c r="H16" s="14" t="s">
        <v>140</v>
      </c>
      <c r="I16" s="14"/>
      <c r="J16" s="13" t="s">
        <v>15</v>
      </c>
      <c r="K16" s="13" t="s">
        <v>58</v>
      </c>
      <c r="L16" s="13" t="s">
        <v>59</v>
      </c>
      <c r="M16" s="14"/>
      <c r="N16" s="15"/>
      <c r="O16" s="14"/>
    </row>
    <row r="17" spans="1:15" ht="39.950000000000003" customHeight="1">
      <c r="A17" s="13" t="s">
        <v>141</v>
      </c>
      <c r="B17" s="13" t="s">
        <v>17</v>
      </c>
      <c r="C17" s="14" t="s">
        <v>52</v>
      </c>
      <c r="D17" s="14" t="s">
        <v>142</v>
      </c>
      <c r="E17" s="14" t="s">
        <v>137</v>
      </c>
      <c r="F17" s="14" t="s">
        <v>143</v>
      </c>
      <c r="G17" s="14" t="s">
        <v>144</v>
      </c>
      <c r="H17" s="14" t="s">
        <v>145</v>
      </c>
      <c r="I17" s="14"/>
      <c r="J17" s="13" t="s">
        <v>15</v>
      </c>
      <c r="K17" s="13" t="s">
        <v>58</v>
      </c>
      <c r="L17" s="13" t="s">
        <v>66</v>
      </c>
      <c r="M17" s="14"/>
      <c r="N17" s="15"/>
      <c r="O17" s="14"/>
    </row>
    <row r="18" spans="1:15" ht="60" customHeight="1">
      <c r="A18" s="13" t="s">
        <v>146</v>
      </c>
      <c r="B18" s="13" t="s">
        <v>17</v>
      </c>
      <c r="C18" s="14" t="s">
        <v>52</v>
      </c>
      <c r="D18" s="14" t="s">
        <v>147</v>
      </c>
      <c r="E18" s="14" t="s">
        <v>62</v>
      </c>
      <c r="F18" s="14" t="s">
        <v>148</v>
      </c>
      <c r="G18" s="14" t="s">
        <v>149</v>
      </c>
      <c r="H18" s="14" t="s">
        <v>150</v>
      </c>
      <c r="I18" s="14"/>
      <c r="J18" s="13" t="s">
        <v>15</v>
      </c>
      <c r="K18" s="13" t="s">
        <v>151</v>
      </c>
      <c r="L18" s="13" t="s">
        <v>66</v>
      </c>
      <c r="M18" s="14"/>
      <c r="N18" s="15"/>
      <c r="O18" s="14"/>
    </row>
    <row r="19" spans="1:15" ht="99.95" customHeight="1">
      <c r="A19" s="13" t="s">
        <v>152</v>
      </c>
      <c r="B19" s="13" t="s">
        <v>17</v>
      </c>
      <c r="C19" s="14" t="s">
        <v>52</v>
      </c>
      <c r="D19" s="14" t="s">
        <v>153</v>
      </c>
      <c r="E19" s="14" t="s">
        <v>137</v>
      </c>
      <c r="F19" s="14" t="s">
        <v>154</v>
      </c>
      <c r="G19" s="14" t="s">
        <v>155</v>
      </c>
      <c r="H19" s="14" t="s">
        <v>156</v>
      </c>
      <c r="I19" s="14"/>
      <c r="J19" s="13" t="s">
        <v>15</v>
      </c>
      <c r="K19" s="13" t="s">
        <v>58</v>
      </c>
      <c r="L19" s="13" t="s">
        <v>59</v>
      </c>
      <c r="M19" s="14"/>
      <c r="N19" s="15"/>
      <c r="O19" s="14"/>
    </row>
    <row r="20" spans="1:15" ht="60" customHeight="1">
      <c r="A20" s="13" t="s">
        <v>157</v>
      </c>
      <c r="B20" s="13" t="s">
        <v>17</v>
      </c>
      <c r="C20" s="14" t="s">
        <v>52</v>
      </c>
      <c r="D20" s="14" t="s">
        <v>158</v>
      </c>
      <c r="E20" s="14" t="s">
        <v>159</v>
      </c>
      <c r="F20" s="14" t="s">
        <v>160</v>
      </c>
      <c r="G20" s="14" t="s">
        <v>62</v>
      </c>
      <c r="H20" s="14" t="s">
        <v>161</v>
      </c>
      <c r="I20" s="14"/>
      <c r="J20" s="13" t="s">
        <v>15</v>
      </c>
      <c r="K20" s="13" t="s">
        <v>58</v>
      </c>
      <c r="L20" s="13" t="s">
        <v>59</v>
      </c>
      <c r="M20" s="14"/>
      <c r="N20" s="15"/>
      <c r="O20" s="14"/>
    </row>
    <row r="21" spans="1:15" ht="24" customHeight="1">
      <c r="A21" s="13" t="s">
        <v>162</v>
      </c>
      <c r="B21" s="13" t="s">
        <v>17</v>
      </c>
      <c r="C21" s="14" t="s">
        <v>52</v>
      </c>
      <c r="D21" s="14" t="s">
        <v>163</v>
      </c>
      <c r="E21" s="14" t="s">
        <v>164</v>
      </c>
      <c r="F21" s="14" t="s">
        <v>165</v>
      </c>
      <c r="G21" s="14" t="s">
        <v>62</v>
      </c>
      <c r="H21" s="14" t="s">
        <v>166</v>
      </c>
      <c r="I21" s="14"/>
      <c r="J21" s="13" t="s">
        <v>15</v>
      </c>
      <c r="K21" s="13" t="s">
        <v>108</v>
      </c>
      <c r="L21" s="13" t="s">
        <v>96</v>
      </c>
      <c r="M21" s="14"/>
      <c r="N21" s="15"/>
      <c r="O21" s="14"/>
    </row>
    <row r="22" spans="1:15" ht="60" customHeight="1">
      <c r="A22" s="13" t="s">
        <v>167</v>
      </c>
      <c r="B22" s="13" t="s">
        <v>17</v>
      </c>
      <c r="C22" s="14" t="s">
        <v>52</v>
      </c>
      <c r="D22" s="14" t="s">
        <v>168</v>
      </c>
      <c r="E22" s="14" t="s">
        <v>169</v>
      </c>
      <c r="F22" s="14" t="s">
        <v>170</v>
      </c>
      <c r="G22" s="14" t="s">
        <v>171</v>
      </c>
      <c r="H22" s="14" t="s">
        <v>172</v>
      </c>
      <c r="I22" s="14"/>
      <c r="J22" s="13" t="s">
        <v>15</v>
      </c>
      <c r="K22" s="13" t="s">
        <v>151</v>
      </c>
      <c r="L22" s="13" t="s">
        <v>59</v>
      </c>
      <c r="M22" s="14"/>
      <c r="N22" s="15"/>
      <c r="O22" s="14"/>
    </row>
    <row r="23" spans="1:15" ht="60" customHeight="1">
      <c r="A23" s="13" t="s">
        <v>173</v>
      </c>
      <c r="B23" s="13" t="s">
        <v>17</v>
      </c>
      <c r="C23" s="14" t="s">
        <v>52</v>
      </c>
      <c r="D23" s="14" t="s">
        <v>174</v>
      </c>
      <c r="E23" s="14" t="s">
        <v>169</v>
      </c>
      <c r="F23" s="14" t="s">
        <v>175</v>
      </c>
      <c r="G23" s="14" t="s">
        <v>176</v>
      </c>
      <c r="H23" s="14" t="s">
        <v>177</v>
      </c>
      <c r="I23" s="14"/>
      <c r="J23" s="13" t="s">
        <v>15</v>
      </c>
      <c r="K23" s="13" t="s">
        <v>108</v>
      </c>
      <c r="L23" s="13" t="s">
        <v>66</v>
      </c>
      <c r="M23" s="14"/>
      <c r="N23" s="15"/>
      <c r="O23" s="14"/>
    </row>
    <row r="24" spans="1:15" ht="120" customHeight="1">
      <c r="A24" s="13" t="s">
        <v>178</v>
      </c>
      <c r="B24" s="13" t="s">
        <v>18</v>
      </c>
      <c r="C24" s="14" t="s">
        <v>179</v>
      </c>
      <c r="D24" s="14" t="s">
        <v>180</v>
      </c>
      <c r="E24" s="14" t="s">
        <v>181</v>
      </c>
      <c r="F24" s="14" t="s">
        <v>182</v>
      </c>
      <c r="G24" s="14" t="s">
        <v>183</v>
      </c>
      <c r="H24" s="14" t="s">
        <v>184</v>
      </c>
      <c r="I24" s="14"/>
      <c r="J24" s="13" t="s">
        <v>15</v>
      </c>
      <c r="K24" s="13" t="s">
        <v>58</v>
      </c>
      <c r="L24" s="13" t="s">
        <v>59</v>
      </c>
      <c r="M24" s="14"/>
      <c r="N24" s="15"/>
      <c r="O24" s="14"/>
    </row>
    <row r="25" spans="1:15" ht="39.950000000000003" customHeight="1">
      <c r="A25" s="13" t="s">
        <v>185</v>
      </c>
      <c r="B25" s="13" t="s">
        <v>18</v>
      </c>
      <c r="C25" s="14" t="s">
        <v>179</v>
      </c>
      <c r="D25" s="14" t="s">
        <v>186</v>
      </c>
      <c r="E25" s="14" t="s">
        <v>181</v>
      </c>
      <c r="F25" s="14" t="s">
        <v>187</v>
      </c>
      <c r="G25" s="14" t="s">
        <v>188</v>
      </c>
      <c r="H25" s="14" t="s">
        <v>189</v>
      </c>
      <c r="I25" s="14"/>
      <c r="J25" s="13" t="s">
        <v>15</v>
      </c>
      <c r="K25" s="13" t="s">
        <v>108</v>
      </c>
      <c r="L25" s="13" t="s">
        <v>59</v>
      </c>
      <c r="M25" s="14"/>
      <c r="N25" s="15"/>
      <c r="O25" s="14"/>
    </row>
    <row r="26" spans="1:15" ht="39.950000000000003" customHeight="1">
      <c r="A26" s="13" t="s">
        <v>190</v>
      </c>
      <c r="B26" s="13" t="s">
        <v>18</v>
      </c>
      <c r="C26" s="14" t="s">
        <v>179</v>
      </c>
      <c r="D26" s="14" t="s">
        <v>191</v>
      </c>
      <c r="E26" s="14" t="s">
        <v>181</v>
      </c>
      <c r="F26" s="14" t="s">
        <v>192</v>
      </c>
      <c r="G26" s="14" t="s">
        <v>193</v>
      </c>
      <c r="H26" s="14" t="s">
        <v>194</v>
      </c>
      <c r="I26" s="14"/>
      <c r="J26" s="13" t="s">
        <v>15</v>
      </c>
      <c r="K26" s="13" t="s">
        <v>58</v>
      </c>
      <c r="L26" s="13" t="s">
        <v>66</v>
      </c>
      <c r="M26" s="14"/>
      <c r="N26" s="15"/>
      <c r="O26" s="14"/>
    </row>
    <row r="27" spans="1:15" ht="60" customHeight="1">
      <c r="A27" s="13" t="s">
        <v>195</v>
      </c>
      <c r="B27" s="13" t="s">
        <v>18</v>
      </c>
      <c r="C27" s="14" t="s">
        <v>179</v>
      </c>
      <c r="D27" s="14" t="s">
        <v>196</v>
      </c>
      <c r="E27" s="14" t="s">
        <v>181</v>
      </c>
      <c r="F27" s="14" t="s">
        <v>197</v>
      </c>
      <c r="G27" s="14" t="s">
        <v>198</v>
      </c>
      <c r="H27" s="14" t="s">
        <v>199</v>
      </c>
      <c r="I27" s="14"/>
      <c r="J27" s="13" t="s">
        <v>15</v>
      </c>
      <c r="K27" s="13" t="s">
        <v>108</v>
      </c>
      <c r="L27" s="13" t="s">
        <v>96</v>
      </c>
      <c r="M27" s="14"/>
      <c r="N27" s="15"/>
      <c r="O27" s="14"/>
    </row>
    <row r="28" spans="1:15" ht="39.950000000000003" customHeight="1">
      <c r="A28" s="13" t="s">
        <v>200</v>
      </c>
      <c r="B28" s="13" t="s">
        <v>18</v>
      </c>
      <c r="C28" s="14" t="s">
        <v>179</v>
      </c>
      <c r="D28" s="14" t="s">
        <v>201</v>
      </c>
      <c r="E28" s="14" t="s">
        <v>181</v>
      </c>
      <c r="F28" s="14" t="s">
        <v>202</v>
      </c>
      <c r="G28" s="14" t="s">
        <v>203</v>
      </c>
      <c r="H28" s="14" t="s">
        <v>204</v>
      </c>
      <c r="I28" s="14"/>
      <c r="J28" s="13" t="s">
        <v>15</v>
      </c>
      <c r="K28" s="13" t="s">
        <v>151</v>
      </c>
      <c r="L28" s="13" t="s">
        <v>96</v>
      </c>
      <c r="M28" s="14"/>
      <c r="N28" s="15"/>
      <c r="O28" s="14"/>
    </row>
    <row r="29" spans="1:15" ht="39.950000000000003" customHeight="1">
      <c r="A29" s="13" t="s">
        <v>205</v>
      </c>
      <c r="B29" s="13" t="s">
        <v>18</v>
      </c>
      <c r="C29" s="14" t="s">
        <v>179</v>
      </c>
      <c r="D29" s="14" t="s">
        <v>206</v>
      </c>
      <c r="E29" s="14" t="s">
        <v>181</v>
      </c>
      <c r="F29" s="14" t="s">
        <v>207</v>
      </c>
      <c r="G29" s="14" t="s">
        <v>208</v>
      </c>
      <c r="H29" s="14" t="s">
        <v>209</v>
      </c>
      <c r="I29" s="14"/>
      <c r="J29" s="13" t="s">
        <v>15</v>
      </c>
      <c r="K29" s="13" t="s">
        <v>108</v>
      </c>
      <c r="L29" s="13" t="s">
        <v>66</v>
      </c>
      <c r="M29" s="14"/>
      <c r="N29" s="15"/>
      <c r="O29" s="14"/>
    </row>
    <row r="30" spans="1:15" ht="39.950000000000003" customHeight="1">
      <c r="A30" s="13" t="s">
        <v>210</v>
      </c>
      <c r="B30" s="13" t="s">
        <v>18</v>
      </c>
      <c r="C30" s="14" t="s">
        <v>179</v>
      </c>
      <c r="D30" s="14" t="s">
        <v>211</v>
      </c>
      <c r="E30" s="14" t="s">
        <v>181</v>
      </c>
      <c r="F30" s="14" t="s">
        <v>212</v>
      </c>
      <c r="G30" s="14" t="s">
        <v>213</v>
      </c>
      <c r="H30" s="14" t="s">
        <v>214</v>
      </c>
      <c r="I30" s="14"/>
      <c r="J30" s="13" t="s">
        <v>15</v>
      </c>
      <c r="K30" s="13" t="s">
        <v>108</v>
      </c>
      <c r="L30" s="13" t="s">
        <v>96</v>
      </c>
      <c r="M30" s="14"/>
      <c r="N30" s="15"/>
      <c r="O30" s="14"/>
    </row>
    <row r="31" spans="1:15" ht="60" customHeight="1">
      <c r="A31" s="13" t="s">
        <v>215</v>
      </c>
      <c r="B31" s="13" t="s">
        <v>18</v>
      </c>
      <c r="C31" s="14" t="s">
        <v>179</v>
      </c>
      <c r="D31" s="14" t="s">
        <v>216</v>
      </c>
      <c r="E31" s="14" t="s">
        <v>181</v>
      </c>
      <c r="F31" s="14" t="s">
        <v>217</v>
      </c>
      <c r="G31" s="14" t="s">
        <v>218</v>
      </c>
      <c r="H31" s="14" t="s">
        <v>219</v>
      </c>
      <c r="I31" s="14"/>
      <c r="J31" s="13" t="s">
        <v>15</v>
      </c>
      <c r="K31" s="13" t="s">
        <v>108</v>
      </c>
      <c r="L31" s="13" t="s">
        <v>66</v>
      </c>
      <c r="M31" s="14"/>
      <c r="N31" s="15"/>
      <c r="O31" s="14"/>
    </row>
    <row r="32" spans="1:15" ht="60" customHeight="1">
      <c r="A32" s="13" t="s">
        <v>220</v>
      </c>
      <c r="B32" s="13" t="s">
        <v>18</v>
      </c>
      <c r="C32" s="14" t="s">
        <v>179</v>
      </c>
      <c r="D32" s="14" t="s">
        <v>221</v>
      </c>
      <c r="E32" s="14" t="s">
        <v>181</v>
      </c>
      <c r="F32" s="14" t="s">
        <v>222</v>
      </c>
      <c r="G32" s="14" t="s">
        <v>223</v>
      </c>
      <c r="H32" s="14" t="s">
        <v>224</v>
      </c>
      <c r="I32" s="14"/>
      <c r="J32" s="13" t="s">
        <v>15</v>
      </c>
      <c r="K32" s="13" t="s">
        <v>108</v>
      </c>
      <c r="L32" s="13" t="s">
        <v>59</v>
      </c>
      <c r="M32" s="14"/>
      <c r="N32" s="15"/>
      <c r="O32" s="14"/>
    </row>
    <row r="33" spans="1:15" ht="24" customHeight="1">
      <c r="A33" s="13" t="s">
        <v>225</v>
      </c>
      <c r="B33" s="13" t="s">
        <v>18</v>
      </c>
      <c r="C33" s="14" t="s">
        <v>179</v>
      </c>
      <c r="D33" s="14" t="s">
        <v>226</v>
      </c>
      <c r="E33" s="14" t="s">
        <v>227</v>
      </c>
      <c r="F33" s="14" t="s">
        <v>228</v>
      </c>
      <c r="G33" s="14" t="s">
        <v>62</v>
      </c>
      <c r="H33" s="14" t="s">
        <v>229</v>
      </c>
      <c r="I33" s="14"/>
      <c r="J33" s="13" t="s">
        <v>15</v>
      </c>
      <c r="K33" s="13" t="s">
        <v>58</v>
      </c>
      <c r="L33" s="13" t="s">
        <v>114</v>
      </c>
      <c r="M33" s="14"/>
      <c r="N33" s="15"/>
      <c r="O33" s="14"/>
    </row>
    <row r="34" spans="1:15" ht="99.95" customHeight="1">
      <c r="A34" s="13" t="s">
        <v>230</v>
      </c>
      <c r="B34" s="13" t="s">
        <v>19</v>
      </c>
      <c r="C34" s="14" t="s">
        <v>231</v>
      </c>
      <c r="D34" s="14" t="s">
        <v>232</v>
      </c>
      <c r="E34" s="14" t="s">
        <v>181</v>
      </c>
      <c r="F34" s="14" t="s">
        <v>233</v>
      </c>
      <c r="G34" s="14" t="s">
        <v>234</v>
      </c>
      <c r="H34" s="14" t="s">
        <v>235</v>
      </c>
      <c r="I34" s="14"/>
      <c r="J34" s="13" t="s">
        <v>15</v>
      </c>
      <c r="K34" s="13" t="s">
        <v>58</v>
      </c>
      <c r="L34" s="13" t="s">
        <v>59</v>
      </c>
      <c r="M34" s="14"/>
      <c r="N34" s="15"/>
      <c r="O34" s="14"/>
    </row>
    <row r="35" spans="1:15" ht="39.950000000000003" customHeight="1">
      <c r="A35" s="13" t="s">
        <v>236</v>
      </c>
      <c r="B35" s="13" t="s">
        <v>19</v>
      </c>
      <c r="C35" s="14" t="s">
        <v>231</v>
      </c>
      <c r="D35" s="14" t="s">
        <v>237</v>
      </c>
      <c r="E35" s="14" t="s">
        <v>181</v>
      </c>
      <c r="F35" s="14" t="s">
        <v>238</v>
      </c>
      <c r="G35" s="14" t="s">
        <v>62</v>
      </c>
      <c r="H35" s="14" t="s">
        <v>239</v>
      </c>
      <c r="I35" s="14"/>
      <c r="J35" s="13" t="s">
        <v>15</v>
      </c>
      <c r="K35" s="13" t="s">
        <v>108</v>
      </c>
      <c r="L35" s="13" t="s">
        <v>66</v>
      </c>
      <c r="M35" s="14"/>
      <c r="N35" s="15"/>
      <c r="O35" s="14"/>
    </row>
    <row r="36" spans="1:15" ht="80.099999999999994" customHeight="1">
      <c r="A36" s="13" t="s">
        <v>240</v>
      </c>
      <c r="B36" s="13" t="s">
        <v>19</v>
      </c>
      <c r="C36" s="14" t="s">
        <v>231</v>
      </c>
      <c r="D36" s="14" t="s">
        <v>241</v>
      </c>
      <c r="E36" s="14" t="s">
        <v>242</v>
      </c>
      <c r="F36" s="14" t="s">
        <v>243</v>
      </c>
      <c r="G36" s="14" t="s">
        <v>244</v>
      </c>
      <c r="H36" s="14" t="s">
        <v>245</v>
      </c>
      <c r="I36" s="14"/>
      <c r="J36" s="13" t="s">
        <v>15</v>
      </c>
      <c r="K36" s="13" t="s">
        <v>58</v>
      </c>
      <c r="L36" s="13" t="s">
        <v>59</v>
      </c>
      <c r="M36" s="14"/>
      <c r="N36" s="15"/>
      <c r="O36" s="14"/>
    </row>
    <row r="37" spans="1:15" ht="24" customHeight="1">
      <c r="A37" s="13" t="s">
        <v>246</v>
      </c>
      <c r="B37" s="13" t="s">
        <v>19</v>
      </c>
      <c r="C37" s="14" t="s">
        <v>231</v>
      </c>
      <c r="D37" s="14" t="s">
        <v>247</v>
      </c>
      <c r="E37" s="14" t="s">
        <v>181</v>
      </c>
      <c r="F37" s="14" t="s">
        <v>248</v>
      </c>
      <c r="G37" s="14" t="s">
        <v>62</v>
      </c>
      <c r="H37" s="14" t="s">
        <v>249</v>
      </c>
      <c r="I37" s="14"/>
      <c r="J37" s="13" t="s">
        <v>15</v>
      </c>
      <c r="K37" s="13" t="s">
        <v>58</v>
      </c>
      <c r="L37" s="13" t="s">
        <v>114</v>
      </c>
      <c r="M37" s="14"/>
      <c r="N37" s="15"/>
      <c r="O37" s="14"/>
    </row>
    <row r="38" spans="1:15" ht="60" customHeight="1">
      <c r="A38" s="13" t="s">
        <v>250</v>
      </c>
      <c r="B38" s="13" t="s">
        <v>20</v>
      </c>
      <c r="C38" s="14" t="s">
        <v>251</v>
      </c>
      <c r="D38" s="14" t="s">
        <v>252</v>
      </c>
      <c r="E38" s="14" t="s">
        <v>253</v>
      </c>
      <c r="F38" s="14" t="s">
        <v>254</v>
      </c>
      <c r="G38" s="14" t="s">
        <v>255</v>
      </c>
      <c r="H38" s="14" t="s">
        <v>256</v>
      </c>
      <c r="I38" s="14"/>
      <c r="J38" s="13" t="s">
        <v>15</v>
      </c>
      <c r="K38" s="13" t="s">
        <v>58</v>
      </c>
      <c r="L38" s="13" t="s">
        <v>59</v>
      </c>
      <c r="M38" s="14"/>
      <c r="N38" s="15"/>
      <c r="O38" s="14"/>
    </row>
    <row r="39" spans="1:15" ht="24" customHeight="1">
      <c r="A39" s="13" t="s">
        <v>257</v>
      </c>
      <c r="B39" s="13" t="s">
        <v>20</v>
      </c>
      <c r="C39" s="14" t="s">
        <v>251</v>
      </c>
      <c r="D39" s="14" t="s">
        <v>258</v>
      </c>
      <c r="E39" s="14" t="s">
        <v>253</v>
      </c>
      <c r="F39" s="14" t="s">
        <v>259</v>
      </c>
      <c r="G39" s="14" t="s">
        <v>260</v>
      </c>
      <c r="H39" s="14" t="s">
        <v>261</v>
      </c>
      <c r="I39" s="14"/>
      <c r="J39" s="13" t="s">
        <v>15</v>
      </c>
      <c r="K39" s="13" t="s">
        <v>58</v>
      </c>
      <c r="L39" s="13" t="s">
        <v>66</v>
      </c>
      <c r="M39" s="14"/>
      <c r="N39" s="15"/>
      <c r="O39" s="14"/>
    </row>
    <row r="40" spans="1:15" ht="39.950000000000003" customHeight="1">
      <c r="A40" s="13" t="s">
        <v>262</v>
      </c>
      <c r="B40" s="13" t="s">
        <v>20</v>
      </c>
      <c r="C40" s="14" t="s">
        <v>251</v>
      </c>
      <c r="D40" s="14" t="s">
        <v>263</v>
      </c>
      <c r="E40" s="14" t="s">
        <v>253</v>
      </c>
      <c r="F40" s="14" t="s">
        <v>264</v>
      </c>
      <c r="G40" s="14" t="s">
        <v>265</v>
      </c>
      <c r="H40" s="14" t="s">
        <v>266</v>
      </c>
      <c r="I40" s="14"/>
      <c r="J40" s="13" t="s">
        <v>15</v>
      </c>
      <c r="K40" s="13" t="s">
        <v>108</v>
      </c>
      <c r="L40" s="13" t="s">
        <v>59</v>
      </c>
      <c r="M40" s="14"/>
      <c r="N40" s="15"/>
      <c r="O40" s="14"/>
    </row>
    <row r="41" spans="1:15" ht="60" customHeight="1">
      <c r="A41" s="13" t="s">
        <v>267</v>
      </c>
      <c r="B41" s="13" t="s">
        <v>20</v>
      </c>
      <c r="C41" s="14" t="s">
        <v>251</v>
      </c>
      <c r="D41" s="14" t="s">
        <v>268</v>
      </c>
      <c r="E41" s="14" t="s">
        <v>269</v>
      </c>
      <c r="F41" s="14" t="s">
        <v>270</v>
      </c>
      <c r="G41" s="14" t="s">
        <v>62</v>
      </c>
      <c r="H41" s="14" t="s">
        <v>271</v>
      </c>
      <c r="I41" s="14"/>
      <c r="J41" s="13" t="s">
        <v>15</v>
      </c>
      <c r="K41" s="13" t="s">
        <v>108</v>
      </c>
      <c r="L41" s="13" t="s">
        <v>272</v>
      </c>
      <c r="M41" s="14"/>
      <c r="N41" s="15"/>
      <c r="O41" s="14"/>
    </row>
    <row r="42" spans="1:15" ht="60" customHeight="1">
      <c r="A42" s="13" t="s">
        <v>273</v>
      </c>
      <c r="B42" s="13" t="s">
        <v>21</v>
      </c>
      <c r="C42" s="14" t="s">
        <v>274</v>
      </c>
      <c r="D42" s="14" t="s">
        <v>275</v>
      </c>
      <c r="E42" s="14" t="s">
        <v>276</v>
      </c>
      <c r="F42" s="14" t="s">
        <v>277</v>
      </c>
      <c r="G42" s="14" t="s">
        <v>62</v>
      </c>
      <c r="H42" s="14" t="s">
        <v>278</v>
      </c>
      <c r="I42" s="14"/>
      <c r="J42" s="13" t="s">
        <v>15</v>
      </c>
      <c r="K42" s="13" t="s">
        <v>58</v>
      </c>
      <c r="L42" s="13" t="s">
        <v>59</v>
      </c>
      <c r="M42" s="14"/>
      <c r="N42" s="15"/>
      <c r="O42" s="14"/>
    </row>
    <row r="43" spans="1:15" ht="39.950000000000003" customHeight="1">
      <c r="A43" s="13" t="s">
        <v>279</v>
      </c>
      <c r="B43" s="13" t="s">
        <v>21</v>
      </c>
      <c r="C43" s="14" t="s">
        <v>274</v>
      </c>
      <c r="D43" s="14" t="s">
        <v>280</v>
      </c>
      <c r="E43" s="14" t="s">
        <v>281</v>
      </c>
      <c r="F43" s="14" t="s">
        <v>282</v>
      </c>
      <c r="G43" s="14" t="s">
        <v>62</v>
      </c>
      <c r="H43" s="14" t="s">
        <v>283</v>
      </c>
      <c r="I43" s="14"/>
      <c r="J43" s="13" t="s">
        <v>15</v>
      </c>
      <c r="K43" s="13" t="s">
        <v>151</v>
      </c>
      <c r="L43" s="13" t="s">
        <v>59</v>
      </c>
      <c r="M43" s="14"/>
      <c r="N43" s="15"/>
      <c r="O43" s="14"/>
    </row>
    <row r="44" spans="1:15" ht="80.099999999999994" customHeight="1">
      <c r="A44" s="13" t="s">
        <v>284</v>
      </c>
      <c r="B44" s="13" t="s">
        <v>22</v>
      </c>
      <c r="C44" s="14" t="s">
        <v>285</v>
      </c>
      <c r="D44" s="14" t="s">
        <v>286</v>
      </c>
      <c r="E44" s="14" t="s">
        <v>287</v>
      </c>
      <c r="F44" s="14" t="s">
        <v>288</v>
      </c>
      <c r="G44" s="14" t="s">
        <v>62</v>
      </c>
      <c r="H44" s="14" t="s">
        <v>289</v>
      </c>
      <c r="I44" s="14"/>
      <c r="J44" s="13" t="s">
        <v>15</v>
      </c>
      <c r="K44" s="13" t="s">
        <v>58</v>
      </c>
      <c r="L44" s="13" t="s">
        <v>114</v>
      </c>
      <c r="M44" s="14"/>
      <c r="N44" s="15"/>
      <c r="O44" s="14"/>
    </row>
    <row r="45" spans="1:15" ht="24" customHeight="1">
      <c r="A45" s="13" t="s">
        <v>290</v>
      </c>
      <c r="B45" s="13" t="s">
        <v>22</v>
      </c>
      <c r="C45" s="14" t="s">
        <v>285</v>
      </c>
      <c r="D45" s="14" t="s">
        <v>291</v>
      </c>
      <c r="E45" s="14" t="s">
        <v>292</v>
      </c>
      <c r="F45" s="14" t="s">
        <v>293</v>
      </c>
      <c r="G45" s="14" t="s">
        <v>62</v>
      </c>
      <c r="H45" s="14" t="s">
        <v>294</v>
      </c>
      <c r="I45" s="14"/>
      <c r="J45" s="13" t="s">
        <v>15</v>
      </c>
      <c r="K45" s="13" t="s">
        <v>108</v>
      </c>
      <c r="L45" s="13" t="s">
        <v>59</v>
      </c>
      <c r="M45" s="14"/>
      <c r="N45" s="15"/>
      <c r="O45" s="14"/>
    </row>
    <row r="46" spans="1:15" ht="39.950000000000003" customHeight="1">
      <c r="A46" s="13" t="s">
        <v>295</v>
      </c>
      <c r="B46" s="13" t="s">
        <v>22</v>
      </c>
      <c r="C46" s="14" t="s">
        <v>285</v>
      </c>
      <c r="D46" s="14" t="s">
        <v>296</v>
      </c>
      <c r="E46" s="14" t="s">
        <v>227</v>
      </c>
      <c r="F46" s="14" t="s">
        <v>297</v>
      </c>
      <c r="G46" s="14" t="s">
        <v>62</v>
      </c>
      <c r="H46" s="14" t="s">
        <v>298</v>
      </c>
      <c r="I46" s="14"/>
      <c r="J46" s="13" t="s">
        <v>15</v>
      </c>
      <c r="K46" s="13" t="s">
        <v>58</v>
      </c>
      <c r="L46" s="13" t="s">
        <v>114</v>
      </c>
      <c r="M46" s="14"/>
      <c r="N46" s="15"/>
      <c r="O46" s="14"/>
    </row>
    <row r="47" spans="1:15" ht="99.95" customHeight="1">
      <c r="A47" s="13" t="s">
        <v>299</v>
      </c>
      <c r="B47" s="13" t="s">
        <v>23</v>
      </c>
      <c r="C47" s="14" t="s">
        <v>300</v>
      </c>
      <c r="D47" s="14" t="s">
        <v>301</v>
      </c>
      <c r="E47" s="14" t="s">
        <v>302</v>
      </c>
      <c r="F47" s="14" t="s">
        <v>303</v>
      </c>
      <c r="G47" s="14" t="s">
        <v>304</v>
      </c>
      <c r="H47" s="14" t="s">
        <v>305</v>
      </c>
      <c r="I47" s="14"/>
      <c r="J47" s="13" t="s">
        <v>15</v>
      </c>
      <c r="K47" s="13" t="s">
        <v>58</v>
      </c>
      <c r="L47" s="13" t="s">
        <v>59</v>
      </c>
      <c r="M47" s="14"/>
      <c r="N47" s="15"/>
      <c r="O47" s="14"/>
    </row>
    <row r="48" spans="1:15" ht="39.950000000000003" customHeight="1">
      <c r="A48" s="13" t="s">
        <v>306</v>
      </c>
      <c r="B48" s="13" t="s">
        <v>23</v>
      </c>
      <c r="C48" s="14" t="s">
        <v>300</v>
      </c>
      <c r="D48" s="14" t="s">
        <v>307</v>
      </c>
      <c r="E48" s="14" t="s">
        <v>308</v>
      </c>
      <c r="F48" s="14" t="s">
        <v>309</v>
      </c>
      <c r="G48" s="14" t="s">
        <v>62</v>
      </c>
      <c r="H48" s="14" t="s">
        <v>310</v>
      </c>
      <c r="I48" s="14"/>
      <c r="J48" s="13" t="s">
        <v>15</v>
      </c>
      <c r="K48" s="13" t="s">
        <v>108</v>
      </c>
      <c r="L48" s="13" t="s">
        <v>66</v>
      </c>
      <c r="M48" s="14"/>
      <c r="N48" s="15"/>
      <c r="O48" s="14"/>
    </row>
    <row r="49" spans="1:15" ht="80.099999999999994" customHeight="1">
      <c r="A49" s="13" t="s">
        <v>311</v>
      </c>
      <c r="B49" s="13" t="s">
        <v>23</v>
      </c>
      <c r="C49" s="14" t="s">
        <v>300</v>
      </c>
      <c r="D49" s="14" t="s">
        <v>312</v>
      </c>
      <c r="E49" s="14" t="s">
        <v>313</v>
      </c>
      <c r="F49" s="14" t="s">
        <v>314</v>
      </c>
      <c r="G49" s="14" t="s">
        <v>62</v>
      </c>
      <c r="H49" s="14" t="s">
        <v>315</v>
      </c>
      <c r="I49" s="14"/>
      <c r="J49" s="13" t="s">
        <v>15</v>
      </c>
      <c r="K49" s="13" t="s">
        <v>58</v>
      </c>
      <c r="L49" s="13" t="s">
        <v>59</v>
      </c>
      <c r="M49" s="14"/>
      <c r="N49" s="15"/>
      <c r="O49" s="14"/>
    </row>
    <row r="50" spans="1:15" ht="39.950000000000003" customHeight="1">
      <c r="A50" s="13" t="s">
        <v>316</v>
      </c>
      <c r="B50" s="13" t="s">
        <v>23</v>
      </c>
      <c r="C50" s="14" t="s">
        <v>300</v>
      </c>
      <c r="D50" s="14" t="s">
        <v>317</v>
      </c>
      <c r="E50" s="14" t="s">
        <v>313</v>
      </c>
      <c r="F50" s="14" t="s">
        <v>318</v>
      </c>
      <c r="G50" s="14" t="s">
        <v>319</v>
      </c>
      <c r="H50" s="14" t="s">
        <v>320</v>
      </c>
      <c r="I50" s="14"/>
      <c r="J50" s="13" t="s">
        <v>15</v>
      </c>
      <c r="K50" s="13" t="s">
        <v>58</v>
      </c>
      <c r="L50" s="13" t="s">
        <v>59</v>
      </c>
      <c r="M50" s="14"/>
      <c r="N50" s="15"/>
      <c r="O50" s="14"/>
    </row>
    <row r="51" spans="1:15" ht="39.950000000000003" customHeight="1">
      <c r="A51" s="13" t="s">
        <v>321</v>
      </c>
      <c r="B51" s="13" t="s">
        <v>23</v>
      </c>
      <c r="C51" s="14" t="s">
        <v>300</v>
      </c>
      <c r="D51" s="14" t="s">
        <v>322</v>
      </c>
      <c r="E51" s="14" t="s">
        <v>323</v>
      </c>
      <c r="F51" s="14" t="s">
        <v>324</v>
      </c>
      <c r="G51" s="14" t="s">
        <v>62</v>
      </c>
      <c r="H51" s="14" t="s">
        <v>325</v>
      </c>
      <c r="I51" s="14"/>
      <c r="J51" s="13" t="s">
        <v>15</v>
      </c>
      <c r="K51" s="13" t="s">
        <v>58</v>
      </c>
      <c r="L51" s="13" t="s">
        <v>59</v>
      </c>
      <c r="M51" s="14"/>
      <c r="N51" s="15"/>
      <c r="O51" s="14"/>
    </row>
    <row r="52" spans="1:15" ht="24" customHeight="1">
      <c r="A52" s="13" t="s">
        <v>326</v>
      </c>
      <c r="B52" s="13" t="s">
        <v>23</v>
      </c>
      <c r="C52" s="14" t="s">
        <v>300</v>
      </c>
      <c r="D52" s="14" t="s">
        <v>327</v>
      </c>
      <c r="E52" s="14" t="s">
        <v>328</v>
      </c>
      <c r="F52" s="14" t="s">
        <v>329</v>
      </c>
      <c r="G52" s="14" t="s">
        <v>62</v>
      </c>
      <c r="H52" s="14" t="s">
        <v>330</v>
      </c>
      <c r="I52" s="14"/>
      <c r="J52" s="13" t="s">
        <v>15</v>
      </c>
      <c r="K52" s="13" t="s">
        <v>58</v>
      </c>
      <c r="L52" s="13" t="s">
        <v>114</v>
      </c>
      <c r="M52" s="14"/>
      <c r="N52" s="15"/>
      <c r="O52" s="14"/>
    </row>
    <row r="53" spans="1:15" ht="39.950000000000003" customHeight="1">
      <c r="A53" s="13" t="s">
        <v>331</v>
      </c>
      <c r="B53" s="13" t="s">
        <v>24</v>
      </c>
      <c r="C53" s="14" t="s">
        <v>332</v>
      </c>
      <c r="D53" s="14" t="s">
        <v>333</v>
      </c>
      <c r="E53" s="14" t="s">
        <v>334</v>
      </c>
      <c r="F53" s="14" t="s">
        <v>335</v>
      </c>
      <c r="G53" s="14" t="s">
        <v>62</v>
      </c>
      <c r="H53" s="14" t="s">
        <v>336</v>
      </c>
      <c r="I53" s="14"/>
      <c r="J53" s="13" t="s">
        <v>15</v>
      </c>
      <c r="K53" s="13" t="s">
        <v>108</v>
      </c>
      <c r="L53" s="13" t="s">
        <v>59</v>
      </c>
      <c r="M53" s="14"/>
      <c r="N53" s="15"/>
      <c r="O53" s="14"/>
    </row>
    <row r="54" spans="1:15" ht="39.950000000000003" customHeight="1">
      <c r="A54" s="13" t="s">
        <v>337</v>
      </c>
      <c r="B54" s="13" t="s">
        <v>24</v>
      </c>
      <c r="C54" s="14" t="s">
        <v>332</v>
      </c>
      <c r="D54" s="14" t="s">
        <v>338</v>
      </c>
      <c r="E54" s="14" t="s">
        <v>339</v>
      </c>
      <c r="F54" s="14" t="s">
        <v>340</v>
      </c>
      <c r="G54" s="14" t="s">
        <v>62</v>
      </c>
      <c r="H54" s="14" t="s">
        <v>341</v>
      </c>
      <c r="I54" s="14"/>
      <c r="J54" s="13" t="s">
        <v>15</v>
      </c>
      <c r="K54" s="13" t="s">
        <v>108</v>
      </c>
      <c r="L54" s="13" t="s">
        <v>59</v>
      </c>
      <c r="M54" s="14"/>
      <c r="N54" s="15"/>
      <c r="O54" s="14"/>
    </row>
    <row r="55" spans="1:15" ht="39.950000000000003" customHeight="1">
      <c r="A55" s="13" t="s">
        <v>342</v>
      </c>
      <c r="B55" s="13" t="s">
        <v>24</v>
      </c>
      <c r="C55" s="14" t="s">
        <v>332</v>
      </c>
      <c r="D55" s="14" t="s">
        <v>343</v>
      </c>
      <c r="E55" s="14" t="s">
        <v>181</v>
      </c>
      <c r="F55" s="14" t="s">
        <v>344</v>
      </c>
      <c r="G55" s="14" t="s">
        <v>62</v>
      </c>
      <c r="H55" s="14" t="s">
        <v>345</v>
      </c>
      <c r="I55" s="14"/>
      <c r="J55" s="13" t="s">
        <v>15</v>
      </c>
      <c r="K55" s="13" t="s">
        <v>58</v>
      </c>
      <c r="L55" s="13" t="s">
        <v>114</v>
      </c>
      <c r="M55" s="14"/>
      <c r="N55" s="15"/>
      <c r="O55" s="14"/>
    </row>
    <row r="56" spans="1:15" ht="39.950000000000003" customHeight="1">
      <c r="A56" s="13" t="s">
        <v>346</v>
      </c>
      <c r="B56" s="13" t="s">
        <v>25</v>
      </c>
      <c r="C56" s="14" t="s">
        <v>347</v>
      </c>
      <c r="D56" s="14" t="s">
        <v>348</v>
      </c>
      <c r="E56" s="14" t="s">
        <v>349</v>
      </c>
      <c r="F56" s="14" t="s">
        <v>350</v>
      </c>
      <c r="G56" s="14" t="s">
        <v>62</v>
      </c>
      <c r="H56" s="14" t="s">
        <v>351</v>
      </c>
      <c r="I56" s="14"/>
      <c r="J56" s="13" t="s">
        <v>15</v>
      </c>
      <c r="K56" s="13" t="s">
        <v>108</v>
      </c>
      <c r="L56" s="13" t="s">
        <v>59</v>
      </c>
      <c r="M56" s="14"/>
      <c r="N56" s="15"/>
      <c r="O56" s="14"/>
    </row>
    <row r="57" spans="1:15" ht="24" customHeight="1">
      <c r="A57" s="13" t="s">
        <v>352</v>
      </c>
      <c r="B57" s="13" t="s">
        <v>25</v>
      </c>
      <c r="C57" s="14" t="s">
        <v>347</v>
      </c>
      <c r="D57" s="14" t="s">
        <v>353</v>
      </c>
      <c r="E57" s="14" t="s">
        <v>354</v>
      </c>
      <c r="F57" s="14" t="s">
        <v>355</v>
      </c>
      <c r="G57" s="14" t="s">
        <v>62</v>
      </c>
      <c r="H57" s="14" t="s">
        <v>356</v>
      </c>
      <c r="I57" s="14"/>
      <c r="J57" s="13" t="s">
        <v>15</v>
      </c>
      <c r="K57" s="13" t="s">
        <v>108</v>
      </c>
      <c r="L57" s="13" t="s">
        <v>59</v>
      </c>
      <c r="M57" s="14"/>
      <c r="N57" s="15"/>
      <c r="O57" s="14"/>
    </row>
    <row r="58" spans="1:15" ht="39.950000000000003" customHeight="1">
      <c r="A58" s="13" t="s">
        <v>357</v>
      </c>
      <c r="B58" s="13" t="s">
        <v>26</v>
      </c>
      <c r="C58" s="14" t="s">
        <v>358</v>
      </c>
      <c r="D58" s="14" t="s">
        <v>359</v>
      </c>
      <c r="E58" s="14" t="s">
        <v>360</v>
      </c>
      <c r="F58" s="14" t="s">
        <v>361</v>
      </c>
      <c r="G58" s="14" t="s">
        <v>62</v>
      </c>
      <c r="H58" s="14" t="s">
        <v>362</v>
      </c>
      <c r="I58" s="14"/>
      <c r="J58" s="13" t="s">
        <v>15</v>
      </c>
      <c r="K58" s="13" t="s">
        <v>108</v>
      </c>
      <c r="L58" s="13" t="s">
        <v>59</v>
      </c>
      <c r="M58" s="14"/>
      <c r="N58" s="15"/>
      <c r="O58" s="14"/>
    </row>
    <row r="59" spans="1:15" ht="80.099999999999994" customHeight="1">
      <c r="A59" s="13" t="s">
        <v>363</v>
      </c>
      <c r="B59" s="13" t="s">
        <v>26</v>
      </c>
      <c r="C59" s="14" t="s">
        <v>358</v>
      </c>
      <c r="D59" s="14" t="s">
        <v>364</v>
      </c>
      <c r="E59" s="14" t="s">
        <v>365</v>
      </c>
      <c r="F59" s="14" t="s">
        <v>366</v>
      </c>
      <c r="G59" s="14" t="s">
        <v>367</v>
      </c>
      <c r="H59" s="14" t="s">
        <v>368</v>
      </c>
      <c r="I59" s="14"/>
      <c r="J59" s="13" t="s">
        <v>15</v>
      </c>
      <c r="K59" s="13" t="s">
        <v>108</v>
      </c>
      <c r="L59" s="13" t="s">
        <v>59</v>
      </c>
      <c r="M59" s="14"/>
      <c r="N59" s="15"/>
      <c r="O59" s="14"/>
    </row>
    <row r="60" spans="1:15" ht="39.950000000000003" customHeight="1">
      <c r="A60" s="13" t="s">
        <v>369</v>
      </c>
      <c r="B60" s="13" t="s">
        <v>26</v>
      </c>
      <c r="C60" s="14" t="s">
        <v>358</v>
      </c>
      <c r="D60" s="14" t="s">
        <v>370</v>
      </c>
      <c r="E60" s="14" t="s">
        <v>371</v>
      </c>
      <c r="F60" s="14" t="s">
        <v>372</v>
      </c>
      <c r="G60" s="14" t="s">
        <v>62</v>
      </c>
      <c r="H60" s="14" t="s">
        <v>177</v>
      </c>
      <c r="I60" s="14"/>
      <c r="J60" s="13" t="s">
        <v>15</v>
      </c>
      <c r="K60" s="13" t="s">
        <v>108</v>
      </c>
      <c r="L60" s="13" t="s">
        <v>66</v>
      </c>
      <c r="M60" s="14"/>
      <c r="N60" s="15"/>
      <c r="O60" s="14"/>
    </row>
    <row r="61" spans="1:15" ht="60" customHeight="1">
      <c r="A61" s="13" t="s">
        <v>373</v>
      </c>
      <c r="B61" s="13" t="s">
        <v>27</v>
      </c>
      <c r="C61" s="14" t="s">
        <v>374</v>
      </c>
      <c r="D61" s="14" t="s">
        <v>375</v>
      </c>
      <c r="E61" s="14" t="s">
        <v>376</v>
      </c>
      <c r="F61" s="14" t="s">
        <v>377</v>
      </c>
      <c r="G61" s="14" t="s">
        <v>62</v>
      </c>
      <c r="H61" s="14" t="s">
        <v>378</v>
      </c>
      <c r="I61" s="14"/>
      <c r="J61" s="13" t="s">
        <v>15</v>
      </c>
      <c r="K61" s="13" t="s">
        <v>108</v>
      </c>
      <c r="L61" s="13" t="s">
        <v>59</v>
      </c>
      <c r="M61" s="14"/>
      <c r="N61" s="15"/>
      <c r="O61" s="14"/>
    </row>
    <row r="62" spans="1:15" ht="80.099999999999994" customHeight="1">
      <c r="A62" s="13" t="s">
        <v>379</v>
      </c>
      <c r="B62" s="13" t="s">
        <v>27</v>
      </c>
      <c r="C62" s="14" t="s">
        <v>374</v>
      </c>
      <c r="D62" s="14" t="s">
        <v>380</v>
      </c>
      <c r="E62" s="14" t="s">
        <v>381</v>
      </c>
      <c r="F62" s="14" t="s">
        <v>382</v>
      </c>
      <c r="G62" s="14" t="s">
        <v>383</v>
      </c>
      <c r="H62" s="14" t="s">
        <v>384</v>
      </c>
      <c r="I62" s="14"/>
      <c r="J62" s="13" t="s">
        <v>15</v>
      </c>
      <c r="K62" s="13" t="s">
        <v>151</v>
      </c>
      <c r="L62" s="13" t="s">
        <v>59</v>
      </c>
      <c r="M62" s="14"/>
      <c r="N62" s="15"/>
      <c r="O62" s="14"/>
    </row>
    <row r="63" spans="1:15" ht="24" customHeight="1">
      <c r="A63" s="13" t="s">
        <v>385</v>
      </c>
      <c r="B63" s="13" t="s">
        <v>28</v>
      </c>
      <c r="C63" s="14" t="s">
        <v>386</v>
      </c>
      <c r="D63" s="14" t="s">
        <v>387</v>
      </c>
      <c r="E63" s="14" t="s">
        <v>388</v>
      </c>
      <c r="F63" s="14" t="s">
        <v>389</v>
      </c>
      <c r="G63" s="14" t="s">
        <v>390</v>
      </c>
      <c r="H63" s="14" t="s">
        <v>391</v>
      </c>
      <c r="I63" s="14"/>
      <c r="J63" s="13" t="s">
        <v>15</v>
      </c>
      <c r="K63" s="13" t="s">
        <v>108</v>
      </c>
      <c r="L63" s="13" t="s">
        <v>59</v>
      </c>
      <c r="M63" s="14"/>
      <c r="N63" s="15"/>
      <c r="O63" s="14"/>
    </row>
    <row r="64" spans="1:15" ht="24" customHeight="1">
      <c r="A64" s="13" t="s">
        <v>392</v>
      </c>
      <c r="B64" s="13" t="s">
        <v>28</v>
      </c>
      <c r="C64" s="14" t="s">
        <v>386</v>
      </c>
      <c r="D64" s="14" t="s">
        <v>393</v>
      </c>
      <c r="E64" s="14" t="s">
        <v>388</v>
      </c>
      <c r="F64" s="14" t="s">
        <v>394</v>
      </c>
      <c r="G64" s="14" t="s">
        <v>395</v>
      </c>
      <c r="H64" s="14" t="s">
        <v>396</v>
      </c>
      <c r="I64" s="14"/>
      <c r="J64" s="13" t="s">
        <v>15</v>
      </c>
      <c r="K64" s="13" t="s">
        <v>108</v>
      </c>
      <c r="L64" s="13" t="s">
        <v>59</v>
      </c>
      <c r="M64" s="14"/>
      <c r="N64" s="15"/>
      <c r="O64" s="14"/>
    </row>
    <row r="65" spans="1:15" ht="24" customHeight="1">
      <c r="A65" s="13" t="s">
        <v>397</v>
      </c>
      <c r="B65" s="13" t="s">
        <v>28</v>
      </c>
      <c r="C65" s="14" t="s">
        <v>386</v>
      </c>
      <c r="D65" s="14" t="s">
        <v>398</v>
      </c>
      <c r="E65" s="14" t="s">
        <v>62</v>
      </c>
      <c r="F65" s="14" t="s">
        <v>399</v>
      </c>
      <c r="G65" s="14" t="s">
        <v>400</v>
      </c>
      <c r="H65" s="14" t="s">
        <v>401</v>
      </c>
      <c r="I65" s="14"/>
      <c r="J65" s="13" t="s">
        <v>15</v>
      </c>
      <c r="K65" s="13" t="s">
        <v>151</v>
      </c>
      <c r="L65" s="13" t="s">
        <v>66</v>
      </c>
      <c r="M65" s="14"/>
      <c r="N65" s="15"/>
      <c r="O65" s="14"/>
    </row>
    <row r="66" spans="1:15" ht="39.950000000000003" customHeight="1">
      <c r="A66" s="13" t="s">
        <v>402</v>
      </c>
      <c r="B66" s="13" t="s">
        <v>28</v>
      </c>
      <c r="C66" s="14" t="s">
        <v>386</v>
      </c>
      <c r="D66" s="14" t="s">
        <v>403</v>
      </c>
      <c r="E66" s="14" t="s">
        <v>62</v>
      </c>
      <c r="F66" s="14" t="s">
        <v>404</v>
      </c>
      <c r="G66" s="14" t="s">
        <v>62</v>
      </c>
      <c r="H66" s="14" t="s">
        <v>405</v>
      </c>
      <c r="I66" s="14"/>
      <c r="J66" s="13" t="s">
        <v>15</v>
      </c>
      <c r="K66" s="13" t="s">
        <v>151</v>
      </c>
      <c r="L66" s="13" t="s">
        <v>66</v>
      </c>
      <c r="M66" s="14"/>
      <c r="N66" s="15"/>
      <c r="O66" s="14"/>
    </row>
    <row r="67" spans="1:15" ht="24" customHeight="1">
      <c r="A67" s="13" t="s">
        <v>406</v>
      </c>
      <c r="B67" s="13" t="s">
        <v>28</v>
      </c>
      <c r="C67" s="14" t="s">
        <v>386</v>
      </c>
      <c r="D67" s="14" t="s">
        <v>407</v>
      </c>
      <c r="E67" s="14" t="s">
        <v>62</v>
      </c>
      <c r="F67" s="14" t="s">
        <v>408</v>
      </c>
      <c r="G67" s="14" t="s">
        <v>409</v>
      </c>
      <c r="H67" s="14" t="s">
        <v>410</v>
      </c>
      <c r="I67" s="14"/>
      <c r="J67" s="13" t="s">
        <v>15</v>
      </c>
      <c r="K67" s="13" t="s">
        <v>58</v>
      </c>
      <c r="L67" s="13" t="s">
        <v>114</v>
      </c>
      <c r="M67" s="14"/>
      <c r="N67" s="15"/>
      <c r="O67" s="14"/>
    </row>
    <row r="68" spans="1:15" ht="60" customHeight="1">
      <c r="A68" s="13" t="s">
        <v>411</v>
      </c>
      <c r="B68" s="13" t="s">
        <v>29</v>
      </c>
      <c r="C68" s="14" t="s">
        <v>412</v>
      </c>
      <c r="D68" s="14" t="s">
        <v>413</v>
      </c>
      <c r="E68" s="14" t="s">
        <v>414</v>
      </c>
      <c r="F68" s="14" t="s">
        <v>415</v>
      </c>
      <c r="G68" s="14" t="s">
        <v>62</v>
      </c>
      <c r="H68" s="14" t="s">
        <v>416</v>
      </c>
      <c r="I68" s="14"/>
      <c r="J68" s="13" t="s">
        <v>15</v>
      </c>
      <c r="K68" s="13" t="s">
        <v>108</v>
      </c>
      <c r="L68" s="13" t="s">
        <v>59</v>
      </c>
      <c r="M68" s="14"/>
      <c r="N68" s="15"/>
      <c r="O68" s="14"/>
    </row>
    <row r="69" spans="1:15" ht="39.950000000000003" customHeight="1">
      <c r="A69" s="13" t="s">
        <v>417</v>
      </c>
      <c r="B69" s="13" t="s">
        <v>29</v>
      </c>
      <c r="C69" s="14" t="s">
        <v>412</v>
      </c>
      <c r="D69" s="14" t="s">
        <v>418</v>
      </c>
      <c r="E69" s="14" t="s">
        <v>414</v>
      </c>
      <c r="F69" s="14" t="s">
        <v>419</v>
      </c>
      <c r="G69" s="14" t="s">
        <v>62</v>
      </c>
      <c r="H69" s="14" t="s">
        <v>420</v>
      </c>
      <c r="I69" s="14"/>
      <c r="J69" s="13" t="s">
        <v>15</v>
      </c>
      <c r="K69" s="13" t="s">
        <v>108</v>
      </c>
      <c r="L69" s="13" t="s">
        <v>59</v>
      </c>
      <c r="M69" s="14"/>
      <c r="N69" s="15"/>
      <c r="O69" s="14"/>
    </row>
    <row r="70" spans="1:15" ht="24" customHeight="1">
      <c r="A70" s="13" t="s">
        <v>421</v>
      </c>
      <c r="B70" s="13" t="s">
        <v>29</v>
      </c>
      <c r="C70" s="14" t="s">
        <v>412</v>
      </c>
      <c r="D70" s="14" t="s">
        <v>422</v>
      </c>
      <c r="E70" s="14" t="s">
        <v>414</v>
      </c>
      <c r="F70" s="14" t="s">
        <v>423</v>
      </c>
      <c r="G70" s="14" t="s">
        <v>62</v>
      </c>
      <c r="H70" s="14" t="s">
        <v>424</v>
      </c>
      <c r="I70" s="14"/>
      <c r="J70" s="13" t="s">
        <v>15</v>
      </c>
      <c r="K70" s="13" t="s">
        <v>108</v>
      </c>
      <c r="L70" s="13" t="s">
        <v>59</v>
      </c>
      <c r="M70" s="14"/>
      <c r="N70" s="15"/>
      <c r="O70" s="14"/>
    </row>
    <row r="71" spans="1:15" ht="24" customHeight="1">
      <c r="A71" s="13" t="s">
        <v>425</v>
      </c>
      <c r="B71" s="13" t="s">
        <v>29</v>
      </c>
      <c r="C71" s="14" t="s">
        <v>412</v>
      </c>
      <c r="D71" s="14" t="s">
        <v>426</v>
      </c>
      <c r="E71" s="14" t="s">
        <v>181</v>
      </c>
      <c r="F71" s="14" t="s">
        <v>427</v>
      </c>
      <c r="G71" s="14" t="s">
        <v>62</v>
      </c>
      <c r="H71" s="14" t="s">
        <v>428</v>
      </c>
      <c r="I71" s="14"/>
      <c r="J71" s="13" t="s">
        <v>15</v>
      </c>
      <c r="K71" s="13" t="s">
        <v>58</v>
      </c>
      <c r="L71" s="13" t="s">
        <v>114</v>
      </c>
      <c r="M71" s="14"/>
      <c r="N71" s="15"/>
      <c r="O71" s="14"/>
    </row>
    <row r="72" spans="1:15" ht="80.099999999999994" customHeight="1">
      <c r="A72" s="13" t="s">
        <v>429</v>
      </c>
      <c r="B72" s="13" t="s">
        <v>30</v>
      </c>
      <c r="C72" s="14" t="s">
        <v>430</v>
      </c>
      <c r="D72" s="14" t="s">
        <v>431</v>
      </c>
      <c r="E72" s="14" t="s">
        <v>381</v>
      </c>
      <c r="F72" s="14" t="s">
        <v>432</v>
      </c>
      <c r="G72" s="14" t="s">
        <v>433</v>
      </c>
      <c r="H72" s="14" t="s">
        <v>434</v>
      </c>
      <c r="I72" s="14"/>
      <c r="J72" s="13" t="s">
        <v>15</v>
      </c>
      <c r="K72" s="13" t="s">
        <v>108</v>
      </c>
      <c r="L72" s="13" t="s">
        <v>59</v>
      </c>
      <c r="M72" s="14"/>
      <c r="N72" s="15"/>
      <c r="O72" s="14"/>
    </row>
    <row r="73" spans="1:15" ht="24" customHeight="1">
      <c r="A73" s="13" t="s">
        <v>435</v>
      </c>
      <c r="B73" s="13" t="s">
        <v>30</v>
      </c>
      <c r="C73" s="14" t="s">
        <v>430</v>
      </c>
      <c r="D73" s="14" t="s">
        <v>436</v>
      </c>
      <c r="E73" s="14" t="s">
        <v>437</v>
      </c>
      <c r="F73" s="14" t="s">
        <v>438</v>
      </c>
      <c r="G73" s="14" t="s">
        <v>439</v>
      </c>
      <c r="H73" s="14" t="s">
        <v>440</v>
      </c>
      <c r="I73" s="14"/>
      <c r="J73" s="13" t="s">
        <v>15</v>
      </c>
      <c r="K73" s="13" t="s">
        <v>108</v>
      </c>
      <c r="L73" s="13" t="s">
        <v>66</v>
      </c>
      <c r="M73" s="14"/>
      <c r="N73" s="15"/>
      <c r="O73" s="14"/>
    </row>
    <row r="74" spans="1:15" ht="60" customHeight="1">
      <c r="A74" s="13" t="s">
        <v>441</v>
      </c>
      <c r="B74" s="13" t="s">
        <v>30</v>
      </c>
      <c r="C74" s="14" t="s">
        <v>430</v>
      </c>
      <c r="D74" s="14" t="s">
        <v>442</v>
      </c>
      <c r="E74" s="14" t="s">
        <v>381</v>
      </c>
      <c r="F74" s="14" t="s">
        <v>443</v>
      </c>
      <c r="G74" s="14" t="s">
        <v>62</v>
      </c>
      <c r="H74" s="14" t="s">
        <v>444</v>
      </c>
      <c r="I74" s="14"/>
      <c r="J74" s="13" t="s">
        <v>15</v>
      </c>
      <c r="K74" s="13" t="s">
        <v>108</v>
      </c>
      <c r="L74" s="13" t="s">
        <v>59</v>
      </c>
      <c r="M74" s="14"/>
      <c r="N74" s="15"/>
      <c r="O74" s="14"/>
    </row>
    <row r="75" spans="1:15" ht="24" customHeight="1">
      <c r="A75" s="13" t="s">
        <v>445</v>
      </c>
      <c r="B75" s="13" t="s">
        <v>30</v>
      </c>
      <c r="C75" s="14" t="s">
        <v>430</v>
      </c>
      <c r="D75" s="14" t="s">
        <v>446</v>
      </c>
      <c r="E75" s="14" t="s">
        <v>447</v>
      </c>
      <c r="F75" s="14" t="s">
        <v>448</v>
      </c>
      <c r="G75" s="14" t="s">
        <v>62</v>
      </c>
      <c r="H75" s="14" t="s">
        <v>449</v>
      </c>
      <c r="I75" s="14"/>
      <c r="J75" s="13" t="s">
        <v>15</v>
      </c>
      <c r="K75" s="13" t="s">
        <v>58</v>
      </c>
      <c r="L75" s="13" t="s">
        <v>114</v>
      </c>
      <c r="M75" s="14"/>
      <c r="N75" s="15"/>
      <c r="O75" s="14"/>
    </row>
    <row r="76" spans="1:15" ht="60" customHeight="1">
      <c r="A76" s="13" t="s">
        <v>450</v>
      </c>
      <c r="B76" s="13" t="s">
        <v>30</v>
      </c>
      <c r="C76" s="14" t="s">
        <v>451</v>
      </c>
      <c r="D76" s="14" t="s">
        <v>452</v>
      </c>
      <c r="E76" s="14" t="s">
        <v>381</v>
      </c>
      <c r="F76" s="14" t="s">
        <v>453</v>
      </c>
      <c r="G76" s="14" t="s">
        <v>454</v>
      </c>
      <c r="H76" s="14" t="s">
        <v>455</v>
      </c>
      <c r="I76" s="14"/>
      <c r="J76" s="13" t="s">
        <v>15</v>
      </c>
      <c r="K76" s="13" t="s">
        <v>108</v>
      </c>
      <c r="L76" s="13" t="s">
        <v>59</v>
      </c>
      <c r="M76" s="14"/>
      <c r="N76" s="15"/>
      <c r="O76" s="14"/>
    </row>
    <row r="77" spans="1:15" ht="39.950000000000003" customHeight="1">
      <c r="A77" s="13" t="s">
        <v>456</v>
      </c>
      <c r="B77" s="13" t="s">
        <v>31</v>
      </c>
      <c r="C77" s="14" t="s">
        <v>457</v>
      </c>
      <c r="D77" s="14" t="s">
        <v>458</v>
      </c>
      <c r="E77" s="14" t="s">
        <v>459</v>
      </c>
      <c r="F77" s="14" t="s">
        <v>460</v>
      </c>
      <c r="G77" s="14" t="s">
        <v>62</v>
      </c>
      <c r="H77" s="14" t="s">
        <v>461</v>
      </c>
      <c r="I77" s="14"/>
      <c r="J77" s="13" t="s">
        <v>15</v>
      </c>
      <c r="K77" s="13" t="s">
        <v>151</v>
      </c>
      <c r="L77" s="13" t="s">
        <v>59</v>
      </c>
      <c r="M77" s="14"/>
      <c r="N77" s="15"/>
      <c r="O77" s="14"/>
    </row>
    <row r="78" spans="1:15" ht="39.950000000000003" customHeight="1">
      <c r="A78" s="13" t="s">
        <v>462</v>
      </c>
      <c r="B78" s="13" t="s">
        <v>32</v>
      </c>
      <c r="C78" s="14" t="s">
        <v>463</v>
      </c>
      <c r="D78" s="14" t="s">
        <v>464</v>
      </c>
      <c r="E78" s="14" t="s">
        <v>62</v>
      </c>
      <c r="F78" s="14" t="s">
        <v>465</v>
      </c>
      <c r="G78" s="14" t="s">
        <v>466</v>
      </c>
      <c r="H78" s="14" t="s">
        <v>467</v>
      </c>
      <c r="I78" s="14"/>
      <c r="J78" s="13" t="s">
        <v>15</v>
      </c>
      <c r="K78" s="13" t="s">
        <v>108</v>
      </c>
      <c r="L78" s="13" t="s">
        <v>468</v>
      </c>
      <c r="M78" s="14"/>
      <c r="N78" s="15"/>
      <c r="O78" s="14"/>
    </row>
    <row r="79" spans="1:15" ht="60" customHeight="1">
      <c r="A79" s="13" t="s">
        <v>469</v>
      </c>
      <c r="B79" s="13" t="s">
        <v>32</v>
      </c>
      <c r="C79" s="14" t="s">
        <v>470</v>
      </c>
      <c r="D79" s="14" t="s">
        <v>471</v>
      </c>
      <c r="E79" s="14" t="s">
        <v>62</v>
      </c>
      <c r="F79" s="14" t="s">
        <v>472</v>
      </c>
      <c r="G79" s="14" t="s">
        <v>62</v>
      </c>
      <c r="H79" s="14" t="s">
        <v>473</v>
      </c>
      <c r="I79" s="14"/>
      <c r="J79" s="13" t="s">
        <v>15</v>
      </c>
      <c r="K79" s="13" t="s">
        <v>151</v>
      </c>
      <c r="L79" s="13" t="s">
        <v>468</v>
      </c>
      <c r="M79" s="14"/>
      <c r="N79" s="15"/>
      <c r="O79" s="14"/>
    </row>
    <row r="80" spans="1:15" ht="39.950000000000003" customHeight="1">
      <c r="A80" s="13" t="s">
        <v>474</v>
      </c>
      <c r="B80" s="13" t="s">
        <v>32</v>
      </c>
      <c r="C80" s="14" t="s">
        <v>475</v>
      </c>
      <c r="D80" s="14" t="s">
        <v>476</v>
      </c>
      <c r="E80" s="14" t="s">
        <v>62</v>
      </c>
      <c r="F80" s="14" t="s">
        <v>477</v>
      </c>
      <c r="G80" s="14" t="s">
        <v>62</v>
      </c>
      <c r="H80" s="14" t="s">
        <v>478</v>
      </c>
      <c r="I80" s="14"/>
      <c r="J80" s="13" t="s">
        <v>15</v>
      </c>
      <c r="K80" s="13" t="s">
        <v>151</v>
      </c>
      <c r="L80" s="13" t="s">
        <v>468</v>
      </c>
      <c r="M80" s="14"/>
      <c r="N80" s="15"/>
      <c r="O80" s="14"/>
    </row>
    <row r="81" spans="1:15" ht="39.950000000000003" customHeight="1">
      <c r="A81" s="13" t="s">
        <v>479</v>
      </c>
      <c r="B81" s="13" t="s">
        <v>32</v>
      </c>
      <c r="C81" s="14" t="s">
        <v>114</v>
      </c>
      <c r="D81" s="14" t="s">
        <v>480</v>
      </c>
      <c r="E81" s="14" t="s">
        <v>481</v>
      </c>
      <c r="F81" s="14" t="s">
        <v>482</v>
      </c>
      <c r="G81" s="14" t="s">
        <v>62</v>
      </c>
      <c r="H81" s="14" t="s">
        <v>483</v>
      </c>
      <c r="I81" s="14"/>
      <c r="J81" s="13" t="s">
        <v>15</v>
      </c>
      <c r="K81" s="13" t="s">
        <v>58</v>
      </c>
      <c r="L81" s="13" t="s">
        <v>114</v>
      </c>
      <c r="M81" s="14"/>
      <c r="N81" s="15"/>
      <c r="O81" s="14"/>
    </row>
    <row r="82" spans="1:15" ht="60" customHeight="1">
      <c r="A82" s="13" t="s">
        <v>484</v>
      </c>
      <c r="B82" s="13" t="s">
        <v>32</v>
      </c>
      <c r="C82" s="14" t="s">
        <v>114</v>
      </c>
      <c r="D82" s="14" t="s">
        <v>485</v>
      </c>
      <c r="E82" s="14" t="s">
        <v>181</v>
      </c>
      <c r="F82" s="14" t="s">
        <v>486</v>
      </c>
      <c r="G82" s="14" t="s">
        <v>487</v>
      </c>
      <c r="H82" s="14" t="s">
        <v>488</v>
      </c>
      <c r="I82" s="14"/>
      <c r="J82" s="13" t="s">
        <v>15</v>
      </c>
      <c r="K82" s="13" t="s">
        <v>58</v>
      </c>
      <c r="L82" s="13" t="s">
        <v>114</v>
      </c>
      <c r="M82" s="14"/>
      <c r="N82" s="15"/>
      <c r="O82" s="14"/>
    </row>
    <row r="83" spans="1:15" ht="39.950000000000003" customHeight="1">
      <c r="A83" s="13" t="s">
        <v>489</v>
      </c>
      <c r="B83" s="13" t="s">
        <v>32</v>
      </c>
      <c r="C83" s="14" t="s">
        <v>490</v>
      </c>
      <c r="D83" s="14" t="s">
        <v>491</v>
      </c>
      <c r="E83" s="14" t="s">
        <v>62</v>
      </c>
      <c r="F83" s="14" t="s">
        <v>492</v>
      </c>
      <c r="G83" s="14" t="s">
        <v>62</v>
      </c>
      <c r="H83" s="14" t="s">
        <v>493</v>
      </c>
      <c r="I83" s="14"/>
      <c r="J83" s="13" t="s">
        <v>15</v>
      </c>
      <c r="K83" s="13" t="s">
        <v>108</v>
      </c>
      <c r="L83" s="13" t="s">
        <v>494</v>
      </c>
      <c r="M83" s="14"/>
      <c r="N83" s="15"/>
      <c r="O83" s="14"/>
    </row>
  </sheetData>
  <autoFilter ref="A1:O83" xr:uid="{00000000-0009-0000-0000-000001000000}"/>
  <conditionalFormatting sqref="J2:J283">
    <cfRule type="cellIs" dxfId="3" priority="1" operator="equal">
      <formula>"Pass"</formula>
    </cfRule>
    <cfRule type="cellIs" dxfId="2" priority="2" operator="equal">
      <formula>"Fail"</formula>
    </cfRule>
    <cfRule type="cellIs" dxfId="1" priority="3" operator="equal">
      <formula>"Blocked"</formula>
    </cfRule>
    <cfRule type="cellIs" dxfId="0" priority="4" operator="equal">
      <formula>"Not Run"</formula>
    </cfRule>
  </conditionalFormatting>
  <dataValidations count="3">
    <dataValidation type="list" allowBlank="1" sqref="J2:J283" xr:uid="{00000000-0002-0000-0100-000000000000}">
      <formula1>"Pass,Fail,Blocked,Not Run"</formula1>
    </dataValidation>
    <dataValidation type="list" allowBlank="1" sqref="K2:K283" xr:uid="{00000000-0002-0000-0100-000001000000}">
      <formula1>"High,Medium,Low"</formula1>
    </dataValidation>
    <dataValidation type="date" operator="greaterThan" allowBlank="1" sqref="N2:N283" xr:uid="{00000000-0002-0000-0100-000002000000}">
      <formula1>DATE(2020,1,1)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RowHeight="14.25"/>
  <cols>
    <col min="1" max="1" width="10" customWidth="1"/>
    <col min="2" max="2" width="70" customWidth="1"/>
    <col min="3" max="3" width="12" customWidth="1"/>
    <col min="4" max="4" width="16" customWidth="1"/>
  </cols>
  <sheetData>
    <row r="1" spans="1:4" ht="19.5">
      <c r="A1" s="16" t="s">
        <v>495</v>
      </c>
      <c r="B1" s="16" t="s">
        <v>496</v>
      </c>
      <c r="C1" s="16" t="s">
        <v>47</v>
      </c>
      <c r="D1" s="16" t="s">
        <v>497</v>
      </c>
    </row>
    <row r="2" spans="1:4" ht="36">
      <c r="A2" s="13" t="s">
        <v>17</v>
      </c>
      <c r="B2" s="14" t="s">
        <v>498</v>
      </c>
      <c r="C2" s="13" t="s">
        <v>499</v>
      </c>
      <c r="D2" s="13">
        <f>COUNTIF('Test Cases'!$B:$B,A2)</f>
        <v>22</v>
      </c>
    </row>
    <row r="3" spans="1:4" ht="36">
      <c r="A3" s="13" t="s">
        <v>18</v>
      </c>
      <c r="B3" s="14" t="s">
        <v>500</v>
      </c>
      <c r="C3" s="13" t="s">
        <v>499</v>
      </c>
      <c r="D3" s="13">
        <f>COUNTIF('Test Cases'!$B:$B,A3)</f>
        <v>10</v>
      </c>
    </row>
    <row r="4" spans="1:4" ht="18">
      <c r="A4" s="13" t="s">
        <v>19</v>
      </c>
      <c r="B4" s="14" t="s">
        <v>501</v>
      </c>
      <c r="C4" s="13" t="s">
        <v>499</v>
      </c>
      <c r="D4" s="13">
        <f>COUNTIF('Test Cases'!$B:$B,A4)</f>
        <v>4</v>
      </c>
    </row>
    <row r="5" spans="1:4" ht="36">
      <c r="A5" s="13" t="s">
        <v>20</v>
      </c>
      <c r="B5" s="14" t="s">
        <v>502</v>
      </c>
      <c r="C5" s="13" t="s">
        <v>499</v>
      </c>
      <c r="D5" s="13">
        <f>COUNTIF('Test Cases'!$B:$B,A5)</f>
        <v>4</v>
      </c>
    </row>
    <row r="6" spans="1:4" ht="18">
      <c r="A6" s="13" t="s">
        <v>21</v>
      </c>
      <c r="B6" s="14" t="s">
        <v>503</v>
      </c>
      <c r="C6" s="13" t="s">
        <v>499</v>
      </c>
      <c r="D6" s="13">
        <f>COUNTIF('Test Cases'!$B:$B,A6)</f>
        <v>2</v>
      </c>
    </row>
    <row r="7" spans="1:4" ht="18">
      <c r="A7" s="13" t="s">
        <v>22</v>
      </c>
      <c r="B7" s="14" t="s">
        <v>504</v>
      </c>
      <c r="C7" s="13" t="s">
        <v>499</v>
      </c>
      <c r="D7" s="13">
        <f>COUNTIF('Test Cases'!$B:$B,A7)</f>
        <v>3</v>
      </c>
    </row>
    <row r="8" spans="1:4" ht="18">
      <c r="A8" s="13" t="s">
        <v>23</v>
      </c>
      <c r="B8" s="14" t="s">
        <v>505</v>
      </c>
      <c r="C8" s="13" t="s">
        <v>499</v>
      </c>
      <c r="D8" s="13">
        <f>COUNTIF('Test Cases'!$B:$B,A8)</f>
        <v>6</v>
      </c>
    </row>
    <row r="9" spans="1:4" ht="18">
      <c r="A9" s="13" t="s">
        <v>24</v>
      </c>
      <c r="B9" s="14" t="s">
        <v>506</v>
      </c>
      <c r="C9" s="13" t="s">
        <v>507</v>
      </c>
      <c r="D9" s="13">
        <f>COUNTIF('Test Cases'!$B:$B,A9)</f>
        <v>3</v>
      </c>
    </row>
    <row r="10" spans="1:4" ht="18">
      <c r="A10" s="13" t="s">
        <v>25</v>
      </c>
      <c r="B10" s="14" t="s">
        <v>508</v>
      </c>
      <c r="C10" s="13" t="s">
        <v>507</v>
      </c>
      <c r="D10" s="13">
        <f>COUNTIF('Test Cases'!$B:$B,A10)</f>
        <v>2</v>
      </c>
    </row>
    <row r="11" spans="1:4" ht="18">
      <c r="A11" s="13" t="s">
        <v>26</v>
      </c>
      <c r="B11" s="14" t="s">
        <v>509</v>
      </c>
      <c r="C11" s="13" t="s">
        <v>507</v>
      </c>
      <c r="D11" s="13">
        <f>COUNTIF('Test Cases'!$B:$B,A11)</f>
        <v>3</v>
      </c>
    </row>
    <row r="12" spans="1:4" ht="18">
      <c r="A12" s="13" t="s">
        <v>27</v>
      </c>
      <c r="B12" s="14" t="s">
        <v>510</v>
      </c>
      <c r="C12" s="13" t="s">
        <v>507</v>
      </c>
      <c r="D12" s="13">
        <f>COUNTIF('Test Cases'!$B:$B,A12)</f>
        <v>2</v>
      </c>
    </row>
    <row r="13" spans="1:4" ht="18">
      <c r="A13" s="13" t="s">
        <v>28</v>
      </c>
      <c r="B13" s="14" t="s">
        <v>511</v>
      </c>
      <c r="C13" s="13" t="s">
        <v>507</v>
      </c>
      <c r="D13" s="13">
        <f>COUNTIF('Test Cases'!$B:$B,A13)</f>
        <v>5</v>
      </c>
    </row>
    <row r="14" spans="1:4" ht="18">
      <c r="A14" s="13" t="s">
        <v>29</v>
      </c>
      <c r="B14" s="14" t="s">
        <v>512</v>
      </c>
      <c r="C14" s="13" t="s">
        <v>507</v>
      </c>
      <c r="D14" s="13">
        <f>COUNTIF('Test Cases'!$B:$B,A14)</f>
        <v>4</v>
      </c>
    </row>
    <row r="15" spans="1:4" ht="18">
      <c r="A15" s="13" t="s">
        <v>30</v>
      </c>
      <c r="B15" s="14" t="s">
        <v>513</v>
      </c>
      <c r="C15" s="13" t="s">
        <v>507</v>
      </c>
      <c r="D15" s="13">
        <f>COUNTIF('Test Cases'!$B:$B,A15)</f>
        <v>5</v>
      </c>
    </row>
    <row r="16" spans="1:4" ht="18">
      <c r="A16" s="13" t="s">
        <v>31</v>
      </c>
      <c r="B16" s="14" t="s">
        <v>514</v>
      </c>
      <c r="C16" s="13" t="s">
        <v>515</v>
      </c>
      <c r="D16" s="13">
        <f>COUNTIF('Test Cases'!$B:$B,A16)</f>
        <v>1</v>
      </c>
    </row>
    <row r="17" spans="1:4" ht="18">
      <c r="A17" s="13" t="s">
        <v>32</v>
      </c>
      <c r="B17" s="14" t="s">
        <v>516</v>
      </c>
      <c r="C17" s="13" t="s">
        <v>517</v>
      </c>
      <c r="D17" s="13">
        <f>COUNTIF('Test Cases'!$B:$B,A17)</f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สรุปผล</vt:lpstr>
      <vt:lpstr>Test Cases</vt:lpstr>
      <vt:lpstr>Requirements</vt:lpstr>
      <vt:lpstr>'Test Cases'!Print_Titles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2026-10-24T12:45:52Z</dcterms:created>
  <dcterms:modified xsi:type="dcterms:W3CDTF">2026-10-25T11:07:54Z</dcterms:modified>
</cp:coreProperties>
</file>