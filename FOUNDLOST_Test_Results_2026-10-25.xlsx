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AppData\Local\Temp\claude\C--Users-PC-IT-PROJECT\6ec3f9af-7f8d-469a-b6f3-dde72717d9ba\scratchpad\test-it-pro\"/>
    </mc:Choice>
  </mc:AlternateContent>
  <xr:revisionPtr revIDLastSave="0" documentId="13_ncr:1_{27145BBA-D33B-4CCE-A930-339E17CF00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สรุปผล" sheetId="1" r:id="rId1"/>
    <sheet name="Test Cases (เอกสาร)" sheetId="2" r:id="rId2"/>
    <sheet name="User Manual" sheetId="3" r:id="rId3"/>
    <sheet name="ขั้นตอนตาม Test Plan" sheetId="4" r:id="rId4"/>
    <sheet name="ผลที่ไม่อยู่ในเอกสาร" sheetId="5" r:id="rId5"/>
    <sheet name="ข้อค้นพบ" sheetId="6" r:id="rId6"/>
  </sheets>
  <definedNames>
    <definedName name="_xlnm._FilterDatabase" localSheetId="1" hidden="1">'Test Cases (เอกสาร)'!$A$1:$P$437</definedName>
    <definedName name="_xlnm._FilterDatabase" localSheetId="2" hidden="1">'User Manual'!$A$1:$K$20</definedName>
    <definedName name="_xlnm._FilterDatabase" localSheetId="5" hidden="1">ข้อค้นพบ!$A$1:$E$13</definedName>
    <definedName name="_xlnm._FilterDatabase" localSheetId="3" hidden="1">'ขั้นตอนตาม Test Plan'!$A$1:$D$9</definedName>
    <definedName name="_xlnm._FilterDatabase" localSheetId="4" hidden="1">ผลที่ไม่อยู่ในเอกสาร!$A$1:$D$101</definedName>
  </definedNames>
  <calcPr calcId="181029"/>
</workbook>
</file>

<file path=xl/calcChain.xml><?xml version="1.0" encoding="utf-8"?>
<calcChain xmlns="http://schemas.openxmlformats.org/spreadsheetml/2006/main">
  <c r="B32" i="1" l="1"/>
  <c r="B31" i="1"/>
  <c r="B30" i="1"/>
  <c r="B27" i="1"/>
  <c r="G24" i="1"/>
  <c r="G25" i="1" s="1"/>
  <c r="F24" i="1"/>
  <c r="F25" i="1" s="1"/>
  <c r="E24" i="1"/>
  <c r="E25" i="1" s="1"/>
  <c r="D24" i="1"/>
  <c r="D25" i="1" s="1"/>
  <c r="C24" i="1"/>
  <c r="C25" i="1" s="1"/>
  <c r="H25" i="1" s="1"/>
  <c r="B24" i="1"/>
  <c r="B25" i="1" s="1"/>
  <c r="G19" i="1"/>
  <c r="F19" i="1"/>
  <c r="E19" i="1"/>
  <c r="D19" i="1"/>
  <c r="C19" i="1"/>
  <c r="B19" i="1"/>
  <c r="G18" i="1"/>
  <c r="F18" i="1"/>
  <c r="E18" i="1"/>
  <c r="D18" i="1"/>
  <c r="C18" i="1"/>
  <c r="H18" i="1" s="1"/>
  <c r="B18" i="1"/>
  <c r="G17" i="1"/>
  <c r="F17" i="1"/>
  <c r="E17" i="1"/>
  <c r="D17" i="1"/>
  <c r="C17" i="1"/>
  <c r="H17" i="1" s="1"/>
  <c r="B17" i="1"/>
  <c r="G16" i="1"/>
  <c r="F16" i="1"/>
  <c r="E16" i="1"/>
  <c r="D16" i="1"/>
  <c r="C16" i="1"/>
  <c r="H16" i="1" s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  <c r="B20" i="1" l="1"/>
  <c r="F20" i="1"/>
  <c r="H14" i="1"/>
  <c r="E20" i="1"/>
  <c r="C20" i="1"/>
  <c r="H12" i="1"/>
  <c r="G20" i="1"/>
  <c r="H13" i="1"/>
  <c r="H15" i="1"/>
  <c r="H19" i="1"/>
  <c r="H24" i="1"/>
  <c r="D20" i="1"/>
  <c r="H20" i="1" s="1"/>
</calcChain>
</file>

<file path=xl/sharedStrings.xml><?xml version="1.0" encoding="utf-8"?>
<sst xmlns="http://schemas.openxmlformats.org/spreadsheetml/2006/main" count="6792" uniqueCount="1474">
  <si>
    <t>KU Lost &amp; Found — ผลทดสอบตาม TEST_PLAN, TEST_CASES และ USER_MANUAL</t>
  </si>
  <si>
    <t>วันที่ทดสอบ</t>
  </si>
  <si>
    <t>25/10/2026</t>
  </si>
  <si>
    <t>ผู้ทดสอบ</t>
  </si>
  <si>
    <t>Claude (รันตาม TEST_PLAN)</t>
  </si>
  <si>
    <t>เอกสารอ้างอิง</t>
  </si>
  <si>
    <t>docs/TEST_PLAN.md, docs/TEST_CASES.md (436 กรณี), docs/USER_MANUAL.md</t>
  </si>
  <si>
    <t>สภาพแวดล้อม</t>
  </si>
  <si>
    <t>Windows 10, Node 24, PostgreSQL 16 (localhost:5432), Microsoft Edge; ฐานทดสอบแยก (PGlite / ฐานชั่วคราว) + ตรวจฐานจริงแบบอ่านอย่างเดียว</t>
  </si>
  <si>
    <t>หลักฐานดิบ</t>
  </si>
  <si>
    <t>output/auto-test/2026-10-25T10-18-57-044Z-3739a5</t>
  </si>
  <si>
    <t>1) Test Cases ตามเอกสาร (docs/TEST_CASES.md)</t>
  </si>
  <si>
    <t>กลุ่ม</t>
  </si>
  <si>
    <t>ทั้งหมด</t>
  </si>
  <si>
    <t>Pass</t>
  </si>
  <si>
    <t>Fail</t>
  </si>
  <si>
    <t>Fail (TODO)</t>
  </si>
  <si>
    <t>Blocked</t>
  </si>
  <si>
    <t>Not Run</t>
  </si>
  <si>
    <t>% ผ่าน</t>
  </si>
  <si>
    <t>Unit/Integration (PGlite)</t>
  </si>
  <si>
    <t>สิทธิ์ตามบทบาท/API</t>
  </si>
  <si>
    <t>PostgreSQL จริง (ฐานชั่วคราว)</t>
  </si>
  <si>
    <t>เริ่มระบบเต็ม + PostgreSQL</t>
  </si>
  <si>
    <t>หน้าเว็บ (Playwright/Edge)</t>
  </si>
  <si>
    <t>ระบบในเครื่อง (อ่านอย่างเดียว)</t>
  </si>
  <si>
    <t>Static/Build/Dependency</t>
  </si>
  <si>
    <t>ภายนอก/ต้องใช้คนหรือ production</t>
  </si>
  <si>
    <t>รวม</t>
  </si>
  <si>
    <t>2) เดินตามคู่มือผู้ใช้ (docs/USER_MANUAL.md)</t>
  </si>
  <si>
    <t>ทุกขั้นตอนในคู่มือ</t>
  </si>
  <si>
    <t>คู่มือไม่ตรงกับหน้าจอ (ทั้งหมด/บางส่วน)</t>
  </si>
  <si>
    <t>เปรียบเทียบกับผลในเอกสาร (21 ต.ค.)</t>
  </si>
  <si>
    <t>เดิม Fail → รอบนี้ Pass</t>
  </si>
  <si>
    <t>เดิม Pass → รอบนี้ไม่ Pass</t>
  </si>
  <si>
    <t>เดิม Fail → ยัง Fail</t>
  </si>
  <si>
    <t>% ผ่าน = Pass ÷ (Pass + Fail + Fail (TODO)) ของกรณีที่รันได้ ไม่ใช่เปอร์เซ็นต์ความครบของ requirements หรือความแม่นยำของ AI (ตาม TEST_PLAN)</t>
  </si>
  <si>
    <t>รหัสกรณี</t>
  </si>
  <si>
    <t>ฟังก์ชัน / สถานการณ์</t>
  </si>
  <si>
    <t>ส่วนงาน / ไฟล์ทดสอบ</t>
  </si>
  <si>
    <t>เงื่อนไขก่อนทดสอบ</t>
  </si>
  <si>
    <t>ขั้นตอน</t>
  </si>
  <si>
    <t>ข้อมูลทดสอบ</t>
  </si>
  <si>
    <t>ผลที่คาดหวัง</t>
  </si>
  <si>
    <t>ผลจริง (25 ต.ค. 2569)</t>
  </si>
  <si>
    <t>สถานะ (รอบนี้)</t>
  </si>
  <si>
    <t>สถานะในเอกสาร (21 ต.ค.)</t>
  </si>
  <si>
    <t>ความรุนแรง/ความสำคัญ</t>
  </si>
  <si>
    <t>รหัสบั๊ก</t>
  </si>
  <si>
    <t>หลักฐาน</t>
  </si>
  <si>
    <t>วันที่</t>
  </si>
  <si>
    <t>UNIT-001</t>
  </si>
  <si>
    <t>ตรวจพิกัด: ยอมรับค่า 0 และค่าขอบเขต แต่ปฏิเสธพิกัดผิดรูปแบบหรือระบุไม่ครบคู่</t>
  </si>
  <si>
    <t>การทดสอบหน่วยและระบบร่วม — test/audit-regression.test.cjs</t>
  </si>
  <si>
    <t>ใช้ฐานจำลอง PGlite แยกจากข้อมูลจริง พร้อมการย้ายโครงสร้างและเตรียมข้อมูลตามไฟล์ทดสอบ</t>
  </si>
  <si>
    <t>รันกรณีทดสอบอัตโนมัติที่อ้างอิง ตรวจเงื่อนไขยืนยันผล โดยไม่เปลี่ยนผลที่คาดหวัง</t>
  </si>
  <si>
    <t>ข้อมูลสังเคราะห์เท่านั้น ค่าป้อนและค่าขอบเขตแต่ละรายการอยู่ในตัวกรณีทดสอบของไฟล์ที่อ้างอิง</t>
  </si>
  <si>
    <t>assertion ผ่านทั้งหมด</t>
  </si>
  <si>
    <t>ปานกลาง/P2</t>
  </si>
  <si>
    <t>unit.log</t>
  </si>
  <si>
    <t>UNIT-002</t>
  </si>
  <si>
    <t>ตรวจช่วงวันที่: ปฏิเสธวันที่ไม่มีจริงและช่วงที่วันสิ้นสุดอยู่ก่อนวันเริ่มต้น</t>
  </si>
  <si>
    <t>UNIT-003</t>
  </si>
  <si>
    <t>การย้ายโครงสร้างฐานข้อมูลเก่า พิกัด และตัวกรองของผู้ดูแล ทำงานได้ในฐานทดสอบแยก</t>
  </si>
  <si>
    <t>UNIT-004</t>
  </si>
  <si>
    <t>การเก็บกวาดไฟล์ประกาศลบเฉพาะไฟล์ของคำขอที่ล้มเหลว โดยคงไฟล์ของประกาศที่บันทึกสำเร็จและไฟล์เก่า</t>
  </si>
  <si>
    <t>UNIT-005</t>
  </si>
  <si>
    <t>แผนที่โหลดข้อมูลครบทุกหน้า คงสถานที่ที่ไม่รู้จัก และเคารพการปกปิดพิกัด</t>
  </si>
  <si>
    <t>UNIT-006</t>
  </si>
  <si>
    <t>การตรวจ UI กับข้อมูลแบบอ่านอย่างเดียวตรวจพบค่าที่ไม่ตรงกันและฟิลด์ที่รั่วไหล พร้อมเปรียบเทียบวันที่ใน JSON ได้ถูกต้อง</t>
  </si>
  <si>
    <t>การทดสอบหน่วยและระบบร่วม — test/audit-ui-data.test.cjs</t>
  </si>
  <si>
    <t>UNIT-007</t>
  </si>
  <si>
    <t>Express ไม่เปิดเผยเวอร์ชันในส่วนหัวของการตอบกลับ</t>
  </si>
  <si>
    <t>การทดสอบหน่วยและระบบร่วม — test/backend.test.cjs</t>
  </si>
  <si>
    <t>UNIT-008</t>
  </si>
  <si>
    <t>หน้าเว็บสามารถแสดงรูปที่อัปโหลดจาก API คนละต้นทางได้</t>
  </si>
  <si>
    <t>UNIT-009</t>
  </si>
  <si>
    <t>ให้บริการรูป AVIF เดิมได้ แต่ยังปิดกั้นไฟล์ที่ไม่ใช่รูปภาพ</t>
  </si>
  <si>
    <t>UNIT-010</t>
  </si>
  <si>
    <t>CORS ยอมรับการติดต่อระหว่างเซิร์ฟเวอร์ ต้นทางที่อนุญาต และต้นทางพัฒนาในเครื่อง</t>
  </si>
  <si>
    <t>UNIT-011</t>
  </si>
  <si>
    <t>CORS ปฏิเสธต้นทางผิดรูปแบบและต้นทางที่ไม่เชื่อถือ</t>
  </si>
  <si>
    <t>UNIT-012</t>
  </si>
  <si>
    <t>ระบบส่งอีเมลต้องมีข้อมูลรับรองและบังคับใช้ TLS</t>
  </si>
  <si>
    <t>UNIT-013</t>
  </si>
  <si>
    <t>ตัวสร้าง OTP คืนรหัส 6 หลักที่สร้างด้วยวิธีสุ่มเชิงเข้ารหัส</t>
  </si>
  <si>
    <t>UNIT-014</t>
  </si>
  <si>
    <t>ตัวอ่าน Bearer ยอมรับโทเคนแบบทึบเพียงค่าเดียว</t>
  </si>
  <si>
    <t>UNIT-015</t>
  </si>
  <si>
    <t>ตัวตรวจเซสชันปฏิเสธคำขอที่ไม่มีข้อมูลรับรอง แต่เส้นทางที่อนุญาตการยืนยันตัวตนแบบไม่บังคับยังเป็นสาธารณะ</t>
  </si>
  <si>
    <t>UNIT-016</t>
  </si>
  <si>
    <t>การตรวจอีเมลปฏิเสธค่าที่ผิดรูปแบบ</t>
  </si>
  <si>
    <t>UNIT-017</t>
  </si>
  <si>
    <t>การตรวจข้อมูลสิ่งของปรับข้อมูลที่ถูกต้องให้อยู่ในรูปแบบมาตรฐานและแจ้งฟิลด์ที่ไม่ถูกต้อง</t>
  </si>
  <si>
    <t>UNIT-018</t>
  </si>
  <si>
    <t>ตัวช่วยอ่านผล AI แปลง JSON ทั้งแบบข้อความตรงและแบบอยู่ในกรอบโค้ดได้อย่างปลอดภัย</t>
  </si>
  <si>
    <t>UNIT-019</t>
  </si>
  <si>
    <t>การปรับคะแนน AI ให้อยู่ในช่วงมาตรฐานและโหมดปิด AI ให้ผลแน่นอน</t>
  </si>
  <si>
    <t>UNIT-020</t>
  </si>
  <si>
    <t>ระบบสำรองปฏิเสธพาธโปรแกรมแบบสัมพัทธ์หรือพาธที่ไม่มีไฟล์ ก่อนเริ่มส่งออกฐานข้อมูล</t>
  </si>
  <si>
    <t>การทดสอบหน่วยและระบบร่วม — test/backup-executables.test.cjs</t>
  </si>
  <si>
    <t>UNIT-021</t>
  </si>
  <si>
    <t>การตรวจกู้คืนปฏิเสธฐานเป้าหมายที่ไม่ปลอดภัยและไฟล์สำรองที่ไม่รู้จัก</t>
  </si>
  <si>
    <t>UNIT-022</t>
  </si>
  <si>
    <t>ทั้งสีสิ่งของจากรายการแนะนำและสีที่กำหนดเองมีผลต่อการจับคู่</t>
  </si>
  <si>
    <t>การทดสอบหน่วยและระบบร่วม — test/card-colors.test.cjs</t>
  </si>
  <si>
    <t>UNIT-023</t>
  </si>
  <si>
    <t>การตรวจสีสิ่งของยอมรับรหัสสีฐานสิบหกจากชุดสี และละเว้นค่าสีการ์ดแบบเก่า</t>
  </si>
  <si>
    <t>UNIT-024</t>
  </si>
  <si>
    <t>ประกาศของหายและของพบบันทึกสีจริงของสิ่งของ โดยไม่ใช้สีการ์ด</t>
  </si>
  <si>
    <t>UNIT-025</t>
  </si>
  <si>
    <t>สีตกแต่งการ์ดไม่มีผลต่อหลักฐานข้อความที่ใช้จับคู่</t>
  </si>
  <si>
    <t>UNIT-026</t>
  </si>
  <si>
    <t>ย้ายค่าตัวเลือกสีแบบเก่าเพียงครั้งเดียว พร้อมบันทึกตรวจสอบและสแกนใหม่ โดยรักษาคำอธิบายสีจริงและตัวเลือกการ์ดเดิม</t>
  </si>
  <si>
    <t>UNIT-027</t>
  </si>
  <si>
    <t>ภาพประกอบที่ติดป้ายกำกับ 30 ภาพและประกาศที่กรอกครบใช้ฟิลด์ถูกต้อง และกระจายหมวดหมู่อย่างสมดุล</t>
  </si>
  <si>
    <t>การทดสอบหน่วยและระบบร่วม — test/demo-seed.test.cjs</t>
  </si>
  <si>
    <t>UNIT-028</t>
  </si>
  <si>
    <t>การเพิ่มข้อมูลตัวอย่างคงบัญชีและประกาศเดิม เชื่อมจุดรับฝากครบ และไม่ก่อผลข้างเคียงออกภายนอก</t>
  </si>
  <si>
    <t>UNIT-029</t>
  </si>
  <si>
    <t>หากจุดรับฝากชนกับข้อมูลเดิม ให้ย้อนคืนการเพิ่มข้อมูลตัวอย่างทั้งชุด ไม่ดัดแปลงข้อมูลจริงมาใช้แทน</t>
  </si>
  <si>
    <t>UNIT-030</t>
  </si>
  <si>
    <t>เจ้าหน้าที่สาธิตในเครื่องเข้าใช้ด้วยชื่อผู้ใช้ได้ ไม่มีสิทธิ์ผู้ดูแล มีวันหมดอายุ และถูกปิดในระบบใช้งานจริง</t>
  </si>
  <si>
    <t>การทดสอบหน่วยและระบบร่วม — test/demo-staff.test.cjs</t>
  </si>
  <si>
    <t>UNIT-031</t>
  </si>
  <si>
    <t>ช่องบังคับปฏิเสธค่าว่างและข้อความที่มีแต่ช่องว่าง โดยไม่แก้ค่าต้นฉบับ</t>
  </si>
  <si>
    <t>การทดสอบหน่วยและระบบร่วม — test/form-validation.test.cjs</t>
  </si>
  <si>
    <t>UNIT-032</t>
  </si>
  <si>
    <t>ช่องเลือก ไฟล์ ช่องยอมรับเงื่อนไข และข้อจำกัดของฟิลด์ที่จำเป็นมีข้อความเตือนเฉพาะ</t>
  </si>
  <si>
    <t>UNIT-033</t>
  </si>
  <si>
    <t>แปลงค่าตัวเลขตอนส่งฟอร์ม ปฏิเสธค่าว่าง และรักษาค่า 0 ที่ผู้ใช้กรอกจริง</t>
  </si>
  <si>
    <t>UNIT-034</t>
  </si>
  <si>
    <t>การยืนยันตัวตน Google ยอมรับเฉพาะโดเมน KU ที่ตรงและยืนยันแล้ว พร้อมโทเคนที่เซิร์ฟเวอร์ตรวจสอบว่าถูกต้อง</t>
  </si>
  <si>
    <t>การทดสอบหน่วยและระบบร่วม — test/google-ku-domain.test.cjs</t>
  </si>
  <si>
    <t>UNIT-035</t>
  </si>
  <si>
    <t>ระบบวิเคราะห์ภาพในเครื่องใช้ความคล้ายแบบโคไซน์ของคุณลักษณะ AI ที่ปรับมาตรฐาน ไม่ใช้ชื่อไฟล์หรือความคล้ายของข้อความแทน</t>
  </si>
  <si>
    <t>การทดสอบหน่วยและระบบร่วม — test/local-vision.test.cjs</t>
  </si>
  <si>
    <t>UNIT-036</t>
  </si>
  <si>
    <t>พาธที่หายไป อยู่ภายนอก เป็นรูปโปรไฟล์ มี query มีการเข้ารหัสเพื่อไล่พาธ หรือไม่มีไฟล์จริง ต้องไม่ถูกส่งไปยัง AI</t>
  </si>
  <si>
    <t>UNIT-037</t>
  </si>
  <si>
    <t>แคชคำนวณแฮชจากไบต์ไฟล์จริง และยกเลิกผลเก่าเมื่อไฟล์ถูกเขียนทับ แม้ใช้ชื่อเดิม</t>
  </si>
  <si>
    <t>UNIT-038</t>
  </si>
  <si>
    <t>ภาพว่าง เล็กเกินไป ผิดรูปแบบ ใหญ่เกินไป หรือภาพที่ออกแบบให้ใช้หน่วยความจำมหาศาล ต้องไม่ให้ผลจับคู่ภาพ</t>
  </si>
  <si>
    <t>UNIT-039</t>
  </si>
  <si>
    <t>จังก์ชันของโฟลเดอร์อัปโหลดและลิงก์สัญลักษณ์ของรูปต้องไม่ชี้ออกนอกโฟลเดอร์รูปสิ่งของที่อนุญาต</t>
  </si>
  <si>
    <t>UNIT-040</t>
  </si>
  <si>
    <t>ปฏิเสธไฟล์รูปที่เป็นลิงก์สัญลักษณ์ แม้ปลายทางเป็นรูปสิ่งของอีกไฟล์ในโฟลเดอร์ที่อนุญาต</t>
  </si>
  <si>
    <t>ข้าม: ระบบ Windows ไม่อนุญาตให้สร้าง symlink ของไฟล์รูป</t>
  </si>
  <si>
    <t>UNIT-041</t>
  </si>
  <si>
    <t>การเปรียบเทียบซ้ำพร้อมกันใช้ผลประมวลผลร่วมกันสำหรับเนื้อหารูปเดียวกัน</t>
  </si>
  <si>
    <t>UNIT-042</t>
  </si>
  <si>
    <t>เมื่อเวกเตอร์คุณลักษณะภาพผิดพลาดหรือผิดรูปแบบ ให้แจ้งว่าไม่พร้อมใช้งาน ไม่เปลี่ยนไปสรุปว่าจับคู่ได้</t>
  </si>
  <si>
    <t>UNIT-043</t>
  </si>
  <si>
    <t>แคชเวกเตอร์ภาพจำกัดไม่เกิน 128 รายการ ใช้คีย์อ้างอิงเนื้อหา และนำรูปเก่าออกเมื่อเต็ม</t>
  </si>
  <si>
    <t>UNIT-044</t>
  </si>
  <si>
    <t>ตัวประมวลผลงานเดียวเรียงลำดับการวิเคราะห์ จำกัดขนาดคิว และยุติงานที่เกินเวลา</t>
  </si>
  <si>
    <t>UNIT-045</t>
  </si>
  <si>
    <t>ไม่สามารถฉีดตัวทดสอบทดแทนเมื่ออยู่นอกสภาพแวดล้อมทดสอบ</t>
  </si>
  <si>
    <t>UNIT-046</t>
  </si>
  <si>
    <t>การวิเคราะห์ด้วย DINOv2 จริงแบบออฟไลน์แยกรูปกุญแจสังเคราะห์ออกจากกระเป๋าเป้ได้</t>
  </si>
  <si>
    <t>ข้าม: smoke test โมเดล DINOv2 จริงเป็นแบบเลือกเปิด (MATCH_RUN_LOCAL_SMOKE=1) และไม่มี model cache</t>
  </si>
  <si>
    <t>UNIT-047</t>
  </si>
  <si>
    <t>JSX ที่รองรับหลายภาษาแปลข้อความ UI ตามเงื่อนไข โดยไม่แปลชื่อ ข้อความอิสระ หรือค่าของ API</t>
  </si>
  <si>
    <t>การทดสอบหน่วยและระบบร่วม — test/localization.test.cjs</t>
  </si>
  <si>
    <t>UNIT-048</t>
  </si>
  <si>
    <t>พจนานุกรมภาษาอังกฤษมีคำแปลที่ไม่ว่าง รวมข้อความตรวจข้อมูลจากหลังบ้าน</t>
  </si>
  <si>
    <t>UNIT-049</t>
  </si>
  <si>
    <t>การแจ้งเตือนชนิดที่รู้จักแปลเฉพาะส่วนข้อความระบบ และคงข้อมูลที่แทรกไว้</t>
  </si>
  <si>
    <t>UNIT-050</t>
  </si>
  <si>
    <t>การล้างข้อมูลตามที่อนุมัติคงรายการที่ไม่เกี่ยวข้อง บัญชีเก่า และข้อมูลรับรองเดิม</t>
  </si>
  <si>
    <t>การทดสอบหน่วยและระบบร่วม — test/maintenance-cleanup.test.cjs</t>
  </si>
  <si>
    <t>UNIT-051</t>
  </si>
  <si>
    <t>เมื่อข้อมูลตัวตนที่นำเข้าขัดแย้ง ให้ย้อนคืนประกาศและงานที่ลบไป</t>
  </si>
  <si>
    <t>UNIT-052</t>
  </si>
  <si>
    <t>หากประกาศที่อนุมัติให้ลบมีเจ้าของเพิ่มเข้ามา ต้องหยุดการลบและย้อนคืนรายการเปลี่ยนแปลง</t>
  </si>
  <si>
    <t>UNIT-053</t>
  </si>
  <si>
    <t>ชุดข้อมูลที่มีป้ายกำกับต้องปฏิเสธข้อมูลรั่วข้ามชุด ป้ายกำกับที่หายไป และรหัสซ้ำ</t>
  </si>
  <si>
    <t>การทดสอบหน่วยและระบบร่วม — test/matching-evaluation.test.cjs</t>
  </si>
  <si>
    <t>UNIT-054</t>
  </si>
  <si>
    <t>การประเมินรายงานผลบวกลวง และไม่อ้างค่าความแม่นยำเมื่อไม่มีผลทำนาย</t>
  </si>
  <si>
    <t>UNIT-055</t>
  </si>
  <si>
    <t>ข้อความประกาศที่เหมือนกันไม่สามารถหักล้างหลักฐานว่ารูปเป็นคนละสิ่งของ</t>
  </si>
  <si>
    <t>การทดสอบหน่วยและระบบร่วม — test/matching.test.cjs</t>
  </si>
  <si>
    <t>UNIT-056</t>
  </si>
  <si>
    <t>การแจ้งเตือนจับคู่อัตโนมัติต้องมีคะแนนอย่างน้อย 95</t>
  </si>
  <si>
    <t>UNIT-057</t>
  </si>
  <si>
    <t>สีสิ่งของที่เลือกต่างกันทำให้คู่ที่มีรายละเอียดอื่นคล้ายกันยังอยู่ต่ำกว่าเกณฑ์แจ้งเตือน</t>
  </si>
  <si>
    <t>UNIT-058</t>
  </si>
  <si>
    <t>รูปที่หายไป ไม่ถูกต้อง หรือคุณภาพต่ำต้องไม่สร้างคู่โดยอัตโนมัติ</t>
  </si>
  <si>
    <t>UNIT-059</t>
  </si>
  <si>
    <t>เมื่อโมเดลวิเคราะห์ภาพไม่พร้อม ให้ปฏิเสธอย่างปลอดภัยและคงสถานะรอจับคู่</t>
  </si>
  <si>
    <t>UNIT-060</t>
  </si>
  <si>
    <t>ตัวประมวลผลงานที่คงอยู่ในฐานลองวิเคราะห์ภาพซ้ำเมื่อไม่พร้อม แทนการจบงานว่าเสร็จแล้ว</t>
  </si>
  <si>
    <t>UNIT-061</t>
  </si>
  <si>
    <t>งานที่คงอยู่ในฐานรักษาความละเอียดของเวลา PostgreSQL เมื่อทำงานเสร็จ</t>
  </si>
  <si>
    <t>UNIT-062</t>
  </si>
  <si>
    <t>หากประกาศถูกนำเข้าคิวใหม่ระหว่างวิเคราะห์ ต้องยังเป็นงานรอทำหลังงานเก่าจบ</t>
  </si>
  <si>
    <t>UNIT-063</t>
  </si>
  <si>
    <t>การประมวลผลคิวที่ซ้อนกันต้องไม่วิเคราะห์ประกาศเดียวกันซ้ำพร้อมกัน</t>
  </si>
  <si>
    <t>UNIT-064</t>
  </si>
  <si>
    <t>คู่จริงที่อยู่ถัดจากภาพชุดแรกต้องได้รับการประเมินก่อนจบงานในที่สุด</t>
  </si>
  <si>
    <t>UNIT-065</t>
  </si>
  <si>
    <t>การประมวลผลต่อเนื่องรักษาผลที่ผ่านเกณฑ์จากภาพชุดแรก</t>
  </si>
  <si>
    <t>UNIT-066</t>
  </si>
  <si>
    <t>เมื่อการวิเคราะห์รูปท้ายชุดไม่พร้อม ให้ลองเฉพาะรายการนั้นใหม่ โดยไม่สแกนชุดที่เสร็จแล้วซ้ำ</t>
  </si>
  <si>
    <t>UNIT-067</t>
  </si>
  <si>
    <t>การลดเกณฑ์คะแนนโดยผู้ดูแลไม่สามารถข้ามคะแนนภาพขั้นต่ำ</t>
  </si>
  <si>
    <t>UNIT-068</t>
  </si>
  <si>
    <t>คะแนนภาพสูงไม่ถือเป็นหลักฐาน หากไม่ได้เปรียบเทียบภาพทั้งสองจริง</t>
  </si>
  <si>
    <t>UNIT-069</t>
  </si>
  <si>
    <t>ความคล้ายของภาพสูงไม่สามารถหักล้างข้อมูลที่บ่งชี้ว่าเป็นคนละสิ่งของ</t>
  </si>
  <si>
    <t>UNIT-070</t>
  </si>
  <si>
    <t>คู่ที่มีหลักฐานภาพรองรับบันทึกคะแนนที่ตรวจสอบย้อนหลังได้ โดยไม่อ้างความแน่นอน 100%</t>
  </si>
  <si>
    <t>UNIT-071</t>
  </si>
  <si>
    <t>การสแกนประกาศสองรายการของตนเองต้องไม่เรียกวิเคราะห์ภาพหรือสร้างคู่</t>
  </si>
  <si>
    <t>UNIT-072</t>
  </si>
  <si>
    <t>คำขอจับคู่ต้องมีเซสชันเจ้าของ และนำงานหนักไปเข้าคิว</t>
  </si>
  <si>
    <t>UNIT-073</t>
  </si>
  <si>
    <t>คู่เก่าที่ได้ 100% จากข้อความเพียงอย่างเดียวยังคงถูกซ่อน และไม่ให้ใช้อนุญาตคำขอรับคืน</t>
  </si>
  <si>
    <t>UNIT-074</t>
  </si>
  <si>
    <t>คู่เก่าที่เจ้าหน้าที่ยืนยันยังใช้งานได้ แต่ห้ามข้ามการตรวจหลักฐานและตัวตนตอนรับคืน</t>
  </si>
  <si>
    <t>UNIT-075</t>
  </si>
  <si>
    <t>การตรวจคู่ที่เคยมีหลักฐานรองรับซ้ำต้องยกเลิกหลักฐานภาพเดิมที่พบว่าขัดแย้ง</t>
  </si>
  <si>
    <t>UNIT-076</t>
  </si>
  <si>
    <t>คู่ที่เจ้าหน้าที่ปฏิเสธแล้วต้องไม่ถูกเปิดใช้อีกเพียงเพราะโมเดลให้คะแนนสูง</t>
  </si>
  <si>
    <t>UNIT-077</t>
  </si>
  <si>
    <t>JSON ผลจับคู่สาธารณะต้องไม่เปิดเผยข้อมูลกำกับ AI ภายในที่เป็นค่าดิบหรือค่าอิสระ</t>
  </si>
  <si>
    <t>UNIT-078</t>
  </si>
  <si>
    <t>ทั้ง SQL และ JavaScript ปฏิเสธหลักฐานภาพอัตโนมัติที่ผิดรูปแบบหรืออยู่นอกช่วง</t>
  </si>
  <si>
    <t>UNIT-079</t>
  </si>
  <si>
    <t>ผลเก่าที่มนุษย์ตรวจแล้วต้องไม่เปิดเผยข้อมูลโมเดล หรือชื่อผู้ให้บริการ/เวอร์ชันที่ระบบไม่รู้จัก</t>
  </si>
  <si>
    <t>UNIT-080</t>
  </si>
  <si>
    <t>การเตือนครบกำหนดไม่ใช้คู่เก่าที่ไม่ทำงาน แต่รักษาเจ้าของที่เจ้าหน้าที่ยืนยันและคำขอที่ยังดำเนินการอยู่</t>
  </si>
  <si>
    <t>UNIT-081</t>
  </si>
  <si>
    <t>งานภาพที่ลองครบจำนวนแล้วต้องแสดงว่าไม่พร้อม ไม่ใช่ค้นเสร็จแต่ไม่พบคู่</t>
  </si>
  <si>
    <t>UNIT-082</t>
  </si>
  <si>
    <t>งานจับคู่ของผู้อื่นที่ล้มเหลวต้องไม่ทำให้การค้นหาของผู้ใช้ปัจจุบันถูกระบุว่าไม่พร้อม</t>
  </si>
  <si>
    <t>UNIT-083</t>
  </si>
  <si>
    <t>หากข้อมูลต้นทางหรือคู่เปรียบเทียบเปลี่ยนระหว่างวิเคราะห์ภาพ ต้องไม่เปิดใช้หลักฐานที่ล้าสมัย</t>
  </si>
  <si>
    <t>UNIT-084</t>
  </si>
  <si>
    <t>สิทธิ์ครอบครองงานวิเคราะห์ที่หมดอายุแล้วต้องไม่เปิดใช้คู่หรือจบงานของตัวประมวลผลรุ่นใหม่กว่า</t>
  </si>
  <si>
    <t>UNIT-085</t>
  </si>
  <si>
    <t>ปฏิเสธสิทธิ์ครอบครองงานที่หมดอายุก่อนเริ่มวิเคราะห์ภาพ</t>
  </si>
  <si>
    <t>UNIT-086</t>
  </si>
  <si>
    <t>ระบบตรวจสถานะปฏิเสธผลสุขภาพที่ดูเหมือนปกติแต่ผิดจริง รวมข้อผิดพลาด HTTP และ TLS</t>
  </si>
  <si>
    <t>การทดสอบหน่วยและระบบร่วม — test/monitor.test.cjs</t>
  </si>
  <si>
    <t>UNIT-087</t>
  </si>
  <si>
    <t>การคำนวณความพร้อมใช้รายเดือนไม่นับช่วงข้อมูลขาดหายหรือเวลาในอนาคตว่าเป็นเวลาที่พิสูจน์แล้วว่าระบบพร้อม</t>
  </si>
  <si>
    <t>UNIT-088</t>
  </si>
  <si>
    <t>ข้อมูลรายชื่อที่ตรวจสอบแล้วปรับอีเมลเป็นมาตรฐานเพื่อเทียบค่า โดยคงตัวตนนิสิตเดิม</t>
  </si>
  <si>
    <t>การทดสอบหน่วยและระบบร่วม — test/roster-repair.test.cjs</t>
  </si>
  <si>
    <t>UNIT-089</t>
  </si>
  <si>
    <t>การตรวจรายชื่อปฏิเสธรหัสซ้ำและอีเมลผิดรูปแบบก่อนซ่อมข้อมูล</t>
  </si>
  <si>
    <t>UNIT-090</t>
  </si>
  <si>
    <t>โหมดทดลองแสดงเฉพาะบัญชีที่ตรงเงื่อนไขและชื่อผิดเพี้ยน โดยไม่เปิดธุรกรรมเขียนข้อมูล</t>
  </si>
  <si>
    <t>UNIT-091</t>
  </si>
  <si>
    <t>การซ่อมชื่ออัปเดตเฉพาะฟิลด์ที่มีเงื่อนไขป้องกัน และย้อนคืนหากผู้ใช้ถูกเปลี่ยนระหว่างดำเนินการ</t>
  </si>
  <si>
    <t>UNIT-092</t>
  </si>
  <si>
    <t>OTP เข้าใช้ครั้งแรกให้สิทธิ์ตั้งรหัสผ่านเท่านั้น ปฏิเสธการใช้ซ้ำและอีเมลนอก KU</t>
  </si>
  <si>
    <t>การทดสอบหน่วยและระบบร่วม — test/security.test.cjs</t>
  </si>
  <si>
    <t>UNIT-093</t>
  </si>
  <si>
    <t>การตั้งรหัสผ่านใช้สิทธิ์ได้ครั้งเดียว มีการเติมค่าสุ่มก่อนแฮช และไม่ยกระดับผู้ใช้ใหม่เป็นเจ้าหน้าที่</t>
  </si>
  <si>
    <t>assertion ผ่านทั้งหมด (ชื่อ test เปลี่ยนเป็น “roster activation is one-use and preserves stored identity and role despite forged fields” — ตำแหน่งเดียวกันในไฟล์)</t>
  </si>
  <si>
    <t>UNIT-094</t>
  </si>
  <si>
    <t>เจ้าหน้าที่เข้าใช้ด้วยชื่อผู้ใช้ได้ แต่ห้ามใช้รหัสนิสิตเป็นชื่อผู้ใช้</t>
  </si>
  <si>
    <t>UNIT-095</t>
  </si>
  <si>
    <t>ผู้ใช้อัปเดตรูปโปรไฟล์ได้โดยไม่เปลี่ยนฟิลด์ข้อมูลตัวตน</t>
  </si>
  <si>
    <t>UNIT-096</t>
  </si>
  <si>
    <t>การเปลี่ยนข้อมูลในหน้าจัดการผู้ใช้สะท้อนในหน้าโปรไฟล์ของผู้ใช้นั้น</t>
  </si>
  <si>
    <t>UNIT-097</t>
  </si>
  <si>
    <t>เจ้าหน้าที่มีสิทธิ์งานปฏิบัติการ และการลดบทบาทหรือปิดบัญชีมีผลกับเซสชันที่เปิดอยู่</t>
  </si>
  <si>
    <t>UNIT-098</t>
  </si>
  <si>
    <t>AES-GCM ปฏิเสธข้อมูลที่ถูกแก้ไข และเก็บหลักฐานคำขอรับคืนเป็นข้อมูลเข้ารหัส</t>
  </si>
  <si>
    <t>UNIT-099</t>
  </si>
  <si>
    <t>ระบบครบกำหนดสร้างข้อความเตือน/หมดอายุแยกสำหรับผู้แจ้งกับเจ้าหน้าที่ และเก็บคิวอีเมลเข้ารหัสโดยไม่ซ้ำ</t>
  </si>
  <si>
    <t>UNIT-100</t>
  </si>
  <si>
    <t>ตัวกรองสาธารณะรองรับยี่ห้อ รุ่น และเวลา แต่ไม่เปิดเผยหลักฐานยืนยันตัวตน</t>
  </si>
  <si>
    <t>UNIT-101</t>
  </si>
  <si>
    <t>การสร้างประกาศบันทึกฟิลด์ใหม่ หลักฐานส่วนตัวที่เข้ารหัส และงานจับคู่ที่คงอยู่ในฐานแบบครบทั้งหมดหรือไม่ทำเลย</t>
  </si>
  <si>
    <t>UNIT-102</t>
  </si>
  <si>
    <t>การเข้าใช้ Google ปิดเป็นค่าเริ่มต้น และเชื่อมได้เฉพาะบัญชีรายชื่อ KU ที่ตรวจสอบแล้ว</t>
  </si>
  <si>
    <t>UNIT-103</t>
  </si>
  <si>
    <t>ประกาศของพบยอมรับเฉพาะจุดรับฝากที่ใช้งานอยู่ และบันทึกชื่อจุดมาตรฐาน</t>
  </si>
  <si>
    <t>UNIT-104</t>
  </si>
  <si>
    <t>OTP ลืมรหัสผ่านถูกล็อกหลังเดาผิด 5 ครั้ง รีเซ็ตรหัสผ่านได้ และเพิกถอนเซสชันเก่า</t>
  </si>
  <si>
    <t>UNIT-105</t>
  </si>
  <si>
    <t>ตัวจัดตารางสั่งสำรองรายวันเมื่อถึงกำหนด บันทึกผลสำเร็จ และไม่ทำซ้ำทันที</t>
  </si>
  <si>
    <t>UNIT-106</t>
  </si>
  <si>
    <t>โปรไฟล์คุณลักษณะภาพของประกาศใหม่ถูกบันทึก นำกลับใช้ อัปเดต และลบตามประกาศได้</t>
  </si>
  <si>
    <t>การทดสอบหน่วยและระบบร่วม — test/visual-profiles.test.cjs</t>
  </si>
  <si>
    <t>UNIT-107</t>
  </si>
  <si>
    <t>การฝึกโมเดลออฟไลน์ใช้คำขอที่อนุมัติและคู่ที่เจ้าหน้าที่ปฏิเสธ ไม่ใช้คำขอรับคืนที่ถูกปฏิเสธแทน</t>
  </si>
  <si>
    <t>การทดสอบหน่วยและระบบร่วม — test/visual-training-labels.test.cjs</t>
  </si>
  <si>
    <t>UNIT-108</t>
  </si>
  <si>
    <t>การฝึกค่าน้ำหนักปฏิเสธชุดข้อมูลที่มีตัวอย่างคู่จริงยืนยันแล้วหรือตัวอย่างคนละชิ้นที่ปฏิเสธแล้วน้อยเกินไป</t>
  </si>
  <si>
    <t>การทดสอบหน่วยและระบบร่วม — test/visual-training.test.cjs</t>
  </si>
  <si>
    <t>UNIT-109</t>
  </si>
  <si>
    <t>ชุดฝึกและชุดตรวจสอบต้องไม่มีประกาศของหายหรือของพบร่วมกัน</t>
  </si>
  <si>
    <t>UNIT-110</t>
  </si>
  <si>
    <t>สิ่งของคู่เปรียบเทียบที่ใช้ร่วมกันต้องไม่รั่วข้ามชุดข้อมูลที่แบ่งไว้</t>
  </si>
  <si>
    <t>UNIT-111</t>
  </si>
  <si>
    <t>รูปเดียวกันที่นำไปใช้กับรหัสประกาศอื่นต้องยังอยู่ในชุดข้อมูลเดียวกัน</t>
  </si>
  <si>
    <t>UNIT-112</t>
  </si>
  <si>
    <t>การส่งออก PDF มีการตรวจสิทธิ์ ตรวจขอบเขต และสร้างไฟล์ PDF จริงที่ฝังแบบอักษร</t>
  </si>
  <si>
    <t>การทดสอบหน่วยและระบบร่วม — test/workflow.test.cjs</t>
  </si>
  <si>
    <t>UNIT-113</t>
  </si>
  <si>
    <t>การย้ายโครงสร้างแบบสั่งเองทำซ้ำได้โดยไม่เปลี่ยนผล และคงประกาศเดิม</t>
  </si>
  <si>
    <t>UNIT-114</t>
  </si>
  <si>
    <t>ทรัพยากรผู้ดูแลที่เพิ่มใหม่ทั้งหมดปฏิเสธผู้ไม่เข้าสู่ระบบและผู้ใช้ทั่วไป</t>
  </si>
  <si>
    <t>UNIT-115</t>
  </si>
  <si>
    <t>การเข้าใช้ของผู้ดูแลแบบเดิมยังทำงานได้</t>
  </si>
  <si>
    <t>UNIT-116</t>
  </si>
  <si>
    <t>การจัดการจุดฝากตรวจพิกัดและป้องกันชื่อซ้ำ</t>
  </si>
  <si>
    <t>UNIT-117</t>
  </si>
  <si>
    <t>การจัดการสิ่งของบันทึกลักษณะส่วนตัวและจุดฝากได้ แต่ไม่อนุญาตคืนของโดยตรงข้ามขั้นตอน</t>
  </si>
  <si>
    <t>UNIT-118</t>
  </si>
  <si>
    <t>รายการสาธารณะแสดงคำอธิบายพื้นฐาน แต่ปกปิดรายละเอียดที่ใช้ยืนยันเจ้าของ</t>
  </si>
  <si>
    <t>UNIT-119</t>
  </si>
  <si>
    <t>การจับคู่ต้องมีหลักฐานภาพ และบันทึกคะแนนพร้อมการแจ้งเตือนที่ไม่ซ้ำ</t>
  </si>
  <si>
    <t>UNIT-120</t>
  </si>
  <si>
    <t>เมื่อผู้ดูแลยืนยันคู่ ให้แจ้งผู้แจ้งทั้งสองฝ่ายพร้อมเวลายืนยัน</t>
  </si>
  <si>
    <t>UNIT-121</t>
  </si>
  <si>
    <t>คำขอรับคืนต้องใช้ประกาศของหายของตนเอง ป้องกันการส่งซ้ำ และต้องให้เจ้าหน้าที่ตรวจตัวตน</t>
  </si>
  <si>
    <t>UNIT-122</t>
  </si>
  <si>
    <t>การส่งมอบเปลี่ยนสถานะประกาศทั้งสองแบบครบทั้งหมดหรือไม่ทำเลย คงประวัติตรวจสอบ และป้องกันคำขอเพิ่ม</t>
  </si>
  <si>
    <t>UNIT-123</t>
  </si>
  <si>
    <t>เรื่องแจ้งปัญหาใหม่สามารถนำไปตรวจสอบ และบันทึกหมายเหตุกับสถานะย้อนหลังได้</t>
  </si>
  <si>
    <t>UNIT-124</t>
  </si>
  <si>
    <t>เพิ่มและแก้ไขทะเบียนผู้ใช้ได้โดยไม่ลบประกาศก่อนหน้า</t>
  </si>
  <si>
    <t>UNIT-125</t>
  </si>
  <si>
    <t>การตั้งค่าปฏิเสธนโยบายไม่ถูกต้อง และใช้ระยะเก็บรักษาใหม่กับประกาศใหม่เท่านั้น</t>
  </si>
  <si>
    <t>UNIT-126</t>
  </si>
  <si>
    <t>เฉพาะเจ้าของการแจ้งเตือนเท่านั้นที่ทำเครื่องหมายว่าอ่านแล้วได้</t>
  </si>
  <si>
    <t>UNIT-127</t>
  </si>
  <si>
    <t>ตัวกรองค้นหา สถิติรายวัน/เดือน/ปี และไฟล์สมุดงาน Excel จริงใช้งานได้</t>
  </si>
  <si>
    <t>UNIT-128</t>
  </si>
  <si>
    <t>การแก้ไขข้อมูลส่วนบุคคลต้องตรวจตัวตน อัปเดตผู้ใช้ และป้องกันการใช้คำขอซ้ำ</t>
  </si>
  <si>
    <t>UNIT-129</t>
  </si>
  <si>
    <t>การส่งออกข้อมูลส่วนบุคคลมีเฉพาะข้อมูลเจ้าของ และไม่มีข้อมูลลับสำหรับยืนยันตัวตน</t>
  </si>
  <si>
    <t>UNIT-130</t>
  </si>
  <si>
    <t>การปิดคำขอลบข้อมูลต้องมีหลักฐานภายนอก และไม่ทำลายข้อมูลโดยอัตโนมัติ</t>
  </si>
  <si>
    <t>UNIT-131</t>
  </si>
  <si>
    <t>การถอนความยินยอมปิดบัญชีแบบย้อนกลับได้ และปิดกั้นเซสชันเดิม</t>
  </si>
  <si>
    <t>UNIT-132</t>
  </si>
  <si>
    <t>คำขอรับคืนจากประกาศของพบโดยตรงต้องตรวจตัวตนและยืนยันการส่งมอบ</t>
  </si>
  <si>
    <t>UNIT-133</t>
  </si>
  <si>
    <t>หากตรวจยืนยันไม่ผ่านก่อนส่งมอบ ให้ปฏิเสธคู่เดิมและนำประกาศทั้งสองเข้าคิวค้นหาคู่ใหม่</t>
  </si>
  <si>
    <t>UNIT-134</t>
  </si>
  <si>
    <t>ปฏิเสธคำขอรับคืนจากประกาศของพบโดยตรงก่อนส่งมอบได้ และสิ่งของกลับมาค้นหาได้อีก</t>
  </si>
  <si>
    <t>PG-001</t>
  </si>
  <si>
    <t>การทดสอบระบบร่วมบน PostgreSQL จริง — test/security.test.cjs</t>
  </si>
  <si>
    <t>ใช้ PostgreSQL 16 จริงที่สร้างใหม่แยกต่างหาก ใส่ข้อมูลสังเคราะห์และเตรียมโครงสร้างตามไฟล์ทดสอบ แล้วลบฐานทดสอบหลังจบ</t>
  </si>
  <si>
    <t>รันบน PostgreSQL ฐานชั่วคราว (ลบแล้วหลังจบ): assertion ผ่านทั้งหมด</t>
  </si>
  <si>
    <t>postgres.log, foundlost_test_*.json</t>
  </si>
  <si>
    <t>PG-002</t>
  </si>
  <si>
    <t>รันบน PostgreSQL ฐานชั่วคราว (ลบแล้วหลังจบ): assertion ผ่านทั้งหมด (ชื่อ test เปลี่ยนเป็น “roster activation is one-use and preserves stored identity and role despite forged fields” — ตำแหน่งเดียวกันในไฟล์)</t>
  </si>
  <si>
    <t>PG-003</t>
  </si>
  <si>
    <t>PG-004</t>
  </si>
  <si>
    <t>PG-005</t>
  </si>
  <si>
    <t>PG-006</t>
  </si>
  <si>
    <t>PG-007</t>
  </si>
  <si>
    <t>PG-008</t>
  </si>
  <si>
    <t>PG-009</t>
  </si>
  <si>
    <t>PG-010</t>
  </si>
  <si>
    <t>PG-011</t>
  </si>
  <si>
    <t>PG-012</t>
  </si>
  <si>
    <t>PG-013</t>
  </si>
  <si>
    <t>PG-014</t>
  </si>
  <si>
    <t>PG-015</t>
  </si>
  <si>
    <t>การทดสอบระบบร่วมบน PostgreSQL จริง — test/workflow.test.cjs</t>
  </si>
  <si>
    <t>PG-016</t>
  </si>
  <si>
    <t>PG-017</t>
  </si>
  <si>
    <t>PG-018</t>
  </si>
  <si>
    <t>PG-019</t>
  </si>
  <si>
    <t>PG-020</t>
  </si>
  <si>
    <t>PG-021</t>
  </si>
  <si>
    <t>PG-022</t>
  </si>
  <si>
    <t>PG-023</t>
  </si>
  <si>
    <t>PG-024</t>
  </si>
  <si>
    <t>PG-025</t>
  </si>
  <si>
    <t>PG-026</t>
  </si>
  <si>
    <t>PG-027</t>
  </si>
  <si>
    <t>PG-028</t>
  </si>
  <si>
    <t>PG-029</t>
  </si>
  <si>
    <t>PG-030</t>
  </si>
  <si>
    <t>PG-031</t>
  </si>
  <si>
    <t>PG-032</t>
  </si>
  <si>
    <t>PG-033</t>
  </si>
  <si>
    <t>PG-034</t>
  </si>
  <si>
    <t>PG-035</t>
  </si>
  <si>
    <t>PG-036</t>
  </si>
  <si>
    <t>QA-TEST-06</t>
  </si>
  <si>
    <t>PG-037</t>
  </si>
  <si>
    <t>WEB-001</t>
  </si>
  <si>
    <t>หน้าหลักผ่านการตรวจ WCAG ระดับ AA อัตโนมัติบนคอมพิวเตอร์และมือถือ</t>
  </si>
  <si>
    <t>การใช้งานผ่านหน้าเว็บ — accessibility.spec.js</t>
  </si>
  <si>
    <t>ใช้ Edge Chromium, Vite พอร์ต 4173 และ Express พอร์ต 4181 ร่วมกับข้อมูล PGlite สังเคราะห์ ใช้ตัวรัน 1 ตัวและกำหนดเวลาเดิม โดย Google/SMTP จริงถูกแทนด้วยตัวทดสอบที่ระบุชัดเจน</t>
  </si>
  <si>
    <t>รันบน Microsoft Edge กับ API + ฐานจำลอง: ผ่านทั้งหมด</t>
  </si>
  <si>
    <t>browser.log, browser-results.json</t>
  </si>
  <si>
    <t>WEB-002</t>
  </si>
  <si>
    <t>หน้าเข้าใช้ผู้ดูแลแบบสาธารณะรองรับการเข้าถึงได้ แม้ยังไม่มีเซสชัน</t>
  </si>
  <si>
    <t>WEB-003</t>
  </si>
  <si>
    <t>ลิงก์ข้ามไปเนื้อหาและกล่องยืนยันออกจากระบบใช้งานด้วยแป้นพิมพ์และเทคโนโลยีช่วยการเข้าถึงได้</t>
  </si>
  <si>
    <t>WEB-004</t>
  </si>
  <si>
    <t>ผู้ดูแลเข้าใช้และเปลี่ยนทุกหน้าในส่วนจัดการได้ด้วยข้อมูลจาก API ที่รันจริง</t>
  </si>
  <si>
    <t>การใช้งานผ่านหน้าเว็บ — admin.spec.js</t>
  </si>
  <si>
    <t>WEB-005</t>
  </si>
  <si>
    <t>ส่วนเจ้าหน้าที่มีหน้างานปฏิบัติการครบ 6 หน้า</t>
  </si>
  <si>
    <t>WEB-006</t>
  </si>
  <si>
    <t>หน้าจัดการพอดีกับคอมพิวเตอร์และมือถือ พร้อมบันทึกภาพหน้าจอจากข้อมูลที่รันจริง</t>
  </si>
  <si>
    <t>WEB-007</t>
  </si>
  <si>
    <t>หน้าต่างแก้ไขจุดรับฝากบันทึกได้ จำกัดโฟกัสภายในกล่อง และปิดด้วย Escape ได้</t>
  </si>
  <si>
    <t>WEB-008</t>
  </si>
  <si>
    <t>หน้าสถิติดาวน์โหลดไฟล์ Excel จริง และมีรูปแบบรายงานสำหรับพิมพ์</t>
  </si>
  <si>
    <t>WEB-009</t>
  </si>
  <si>
    <t>ผู้ใช้ส่งคำขอโดยระบุลักษณะเฉพาะที่ปกปิด จากนั้นเจ้าหน้าที่อนุมัติและส่งมอบสิ่งของ</t>
  </si>
  <si>
    <t>WEB-010</t>
  </si>
  <si>
    <t>เมื่อค้นหาล้มเหลว ให้ลบการ์ดผลเก่า และเมื่อลองใหม่ต้องแสดงผลใหม่</t>
  </si>
  <si>
    <t>การใช้งานผ่านหน้าเว็บ — audit-regression.spec.js</t>
  </si>
  <si>
    <t>WEB-011</t>
  </si>
  <si>
    <t>แผนที่โหลดข้อมูลตามเลขหน้า โดยไม่สร้างหมุดสมมติให้พิกัดที่ปกปิดหรือสถานที่กำหนดเอง</t>
  </si>
  <si>
    <t>WEB-012</t>
  </si>
  <si>
    <t>หน้าเข้าใช้วางปุ่มกู้รหัสผ่านใต้ช่องรหัสผ่าน และไม่มีทางลัดเข้าใช้ครั้งแรก</t>
  </si>
  <si>
    <t>การใช้งานผ่านหน้าเว็บ — auth-design.spec.js</t>
  </si>
  <si>
    <t>WEB-013</t>
  </si>
  <si>
    <t>หน้าสมัครและ OTP ใช้รูปแบบที่กำหนดสำหรับคอมพิวเตอร์และมือถือ</t>
  </si>
  <si>
    <t>WEB-014</t>
  </si>
  <si>
    <t>เข้าใช้ครั้งแรกด้วยอีเมลและ OTP ตั้งรหัสผ่าน ออกจากระบบ และกลับเข้าใช้ด้วยรหัสผ่านได้ครบกระบวนการ</t>
  </si>
  <si>
    <t>การใช้งานผ่านหน้าเว็บ — auth.spec.js</t>
  </si>
  <si>
    <t>WEB-015</t>
  </si>
  <si>
    <t>หน้าเข้าใช้ ความเป็นส่วนตัว และตัวกรองรายการสาธารณะพอดีกับหน้าจอแคบ</t>
  </si>
  <si>
    <t>WEB-016</t>
  </si>
  <si>
    <t>คู่ปุ่มในหน้าเข้าใช้และส่วนตัวกรองมีขนาดเท่ากันทั้งคอมพิวเตอร์และมือถือ</t>
  </si>
  <si>
    <t>การใช้งานผ่านหน้าเว็บ — button-sizing.spec.js</t>
  </si>
  <si>
    <t>WEB-017</t>
  </si>
  <si>
    <t>ฟอร์มแจ้งของหายมีตัวเลือกสีสิ่งของ และไม่มีตัวเลือกสีการ์ด</t>
  </si>
  <si>
    <t>การใช้งานผ่านหน้าเว็บ — card-colors.spec.js</t>
  </si>
  <si>
    <t>WEB-018</t>
  </si>
  <si>
    <t>ฟอร์มแจ้งของพบมีตัวเลือกสีสิ่งของ และไม่มีตัวเลือกสีการ์ด</t>
  </si>
  <si>
    <t>WEB-019</t>
  </si>
  <si>
    <t>หน้าผู้ใช้ที่ออกแบบไว้ไม่ล้นแนวนอนทั้งบนมือถือและคอมพิวเตอร์</t>
  </si>
  <si>
    <t>การใช้งานผ่านหน้าเว็บ — design-responsive.spec.js</t>
  </si>
  <si>
    <t>WEB-020</t>
  </si>
  <si>
    <t>หน้าสาธารณะพอดีกับหน้าจอคอมพิวเตอร์และมือถือ</t>
  </si>
  <si>
    <t>WEB-021</t>
  </si>
  <si>
    <t>กดการ์ดรายการแล้วเปิดหน้ารายละเอียดที่ใช้งานได้</t>
  </si>
  <si>
    <t>QA-TEST-01</t>
  </si>
  <si>
    <t>WEB-022</t>
  </si>
  <si>
    <t>โปรไฟล์และรายละเอียดสิ่งของแสดงค่าจาก API ถูกต้องบนคอมพิวเตอร์และมือถือ</t>
  </si>
  <si>
    <t>WEB-023</t>
  </si>
  <si>
    <t>ฟอร์มแจ้งของพบให้เลือกเฉพาะจุดรับฝากที่ระบบตั้งค่าไว้</t>
  </si>
  <si>
    <t>WEB-024</t>
  </si>
  <si>
    <t>แบบอักษร Prompt โหลดและถูกใช้ในหน้าสาธารณะ หน้าเข้าใช้ หน้าผู้ดูแล และหน้าแอป</t>
  </si>
  <si>
    <t>การใช้งานผ่านหน้าเว็บ — font.spec.js</t>
  </si>
  <si>
    <t>WEB-025</t>
  </si>
  <si>
    <t>หน้าเข้าใช้มีข้อความเตือนใต้ช่องตามภาษาที่เลือก โฟกัสช่องผิด และไม่เปลี่ยนไบต์รหัสผ่าน</t>
  </si>
  <si>
    <t>การใช้งานผ่านหน้าเว็บ — form-validation.spec.js</t>
  </si>
  <si>
    <t>WEB-026</t>
  </si>
  <si>
    <t>ช่องตัวเลขที่ลบว่างต้องยังว่าง และส่งค่า 0 ที่กรอกจริงเป็นตัวเลข</t>
  </si>
  <si>
    <t>WEB-027</t>
  </si>
  <si>
    <t>คำขอที่มีแต่ช่องว่างถูกปิดกั้นก่อนเรียก API ที่ /services</t>
  </si>
  <si>
    <t>WEB-028</t>
  </si>
  <si>
    <t>คำขอที่มีแต่ช่องว่างถูกปิดกั้นก่อนเรียก API ที่ /privacy</t>
  </si>
  <si>
    <t>WEB-029</t>
  </si>
  <si>
    <t>หน้า OTP อธิบายเหตุผลที่ปุ่มถูกปิด และอัปเดตจำนวนหลักที่กรอกในทั้งสองภาษา</t>
  </si>
  <si>
    <t>WEB-030</t>
  </si>
  <si>
    <t>รูปที่ลากวางผ่านการตรวจอัปโหลด และการล้างฟอร์มลบข้อความผิดพลาดเดิม</t>
  </si>
  <si>
    <t>WEB-031</t>
  </si>
  <si>
    <t>หน้าตรวจคำขอรับคืนโดยตรงของเจ้าหน้าที่อธิบายเมื่อขาดหมายเหตุหรือการยืนยันตัวตน</t>
  </si>
  <si>
    <t>WEB-032</t>
  </si>
  <si>
    <t>เจ้าหน้าที่ปฏิเสธคำขอที่อนุมัติแล้วก่อนส่งมอบได้ โดยต้องระบุเหตุผล</t>
  </si>
  <si>
    <t>WEB-033</t>
  </si>
  <si>
    <t>การเปลี่ยนภาษาคงรูปแบบหน้าต้อนรับเดิม และยังใช้ลิงก์ข้ามเนื้อหาด้วยแป้นพิมพ์ได้</t>
  </si>
  <si>
    <t>การใช้งานผ่านหน้าเว็บ — github-features.spec.js</t>
  </si>
  <si>
    <t>WEB-034</t>
  </si>
  <si>
    <t>ฟอร์มประกาศส่งเฉพาะสีจริงของสิ่งของที่ผู้ใช้เลือก</t>
  </si>
  <si>
    <t>WEB-035</t>
  </si>
  <si>
    <t>หลักฐานภาพที่ไม่ผ่านเกณฑ์ต้องไม่อนุญาตให้ส่งคำขอรับคืน</t>
  </si>
  <si>
    <t>WEB-036</t>
  </si>
  <si>
    <t>ปุ่ม Google ของ KU เข้าใช้บัญชีที่มีในรายชื่อได้ โดยไม่เปลี่ยนบทบาท</t>
  </si>
  <si>
    <t>การใช้งานผ่านหน้าเว็บ — google-auth.spec.js</t>
  </si>
  <si>
    <t>WEB-037</t>
  </si>
  <si>
    <t>ชื่อเมนูแสดงเมื่อแถบข้างขยาย และสัดส่วนรูปต่างกันไม่ทำให้ขนาดการ์ดเปลี่ยน</t>
  </si>
  <si>
    <t>การใช้งานผ่านหน้าเว็บ — item-layout.spec.js</t>
  </si>
  <si>
    <t>QA-TEST-02</t>
  </si>
  <si>
    <t>WEB-038</t>
  </si>
  <si>
    <t>ส่วนช่วยดำเนินการในหน้ารายละเอียดอธิบายเมื่อยังไม่มีคู่ และจัดการข้อผิดพลาดของบริการจับคู่</t>
  </si>
  <si>
    <t>QA-TEST-03</t>
  </si>
  <si>
    <t>WEB-039</t>
  </si>
  <si>
    <t>API อ่านสิ่งของตามรหัสตรวจตัวตน ปกปิดหลักฐาน และตอบข้อผิดพลาดที่นำไปใช้งานต่อได้</t>
  </si>
  <si>
    <t>WEB-040</t>
  </si>
  <si>
    <t>ปุ่มเปลี่ยนภาษาอยู่เฉพาะในตั้งค่าและจดจำค่าที่เลือก ที่ความกว้าง 320px</t>
  </si>
  <si>
    <t>การใช้งานผ่านหน้าเว็บ — language-settings.spec.js</t>
  </si>
  <si>
    <t>WEB-041</t>
  </si>
  <si>
    <t>ปุ่มเปลี่ยนภาษาอยู่เฉพาะในตั้งค่าและจดจำค่าที่เลือก ที่ความกว้าง 1440px</t>
  </si>
  <si>
    <t>WEB-042</t>
  </si>
  <si>
    <t>หน้าสาธารณะไม่มีปุ่มเปลี่ยนภาษาแบบลอย</t>
  </si>
  <si>
    <t>WEB-043</t>
  </si>
  <si>
    <t>การค้นหาและสถานะภาษาอังกฤษแยกจากข้อมูลส่วนบุคคล ที่ความกว้าง 390px</t>
  </si>
  <si>
    <t>การใช้งานผ่านหน้าเว็บ — localization-regression.spec.js</t>
  </si>
  <si>
    <t>WEB-044</t>
  </si>
  <si>
    <t>การค้นหาและสถานะภาษาอังกฤษแยกจากข้อมูลส่วนบุคคล ที่ความกว้าง 1440px</t>
  </si>
  <si>
    <t>WEB-045</t>
  </si>
  <si>
    <t>ข้อความตรวจฟอร์มและข้อผิดพลาด API ภาษาอังกฤษอัปเดตเมื่อเปลี่ยนภาษา</t>
  </si>
  <si>
    <t>WEB-046</t>
  </si>
  <si>
    <t>ภาษาปุ่ม Google เปลี่ยนตาม UI และข้อความผิดพลาด Google/OTP ถูกแปล</t>
  </si>
  <si>
    <t>WEB-047</t>
  </si>
  <si>
    <t>การแจ้งเตือนระบบภาษาอังกฤษคงชื่อและข้อความอิสระที่ไม่รู้จัก</t>
  </si>
  <si>
    <t>WEB-048</t>
  </si>
  <si>
    <t>การโพสต์ใน UI ภาษาอังกฤษบันทึกข้อมูลภาษาไทยต้นฉบับ และการเปลี่ยนภาษาไม่แก้ข้อมูลใน API</t>
  </si>
  <si>
    <t>WEB-049</t>
  </si>
  <si>
    <t>เมื่อเลือกภาษาอังกฤษ หน้าเข้าใช้ถูกแปล จดจำภาษา และคงค่าฟอร์มที่ยังไม่ส่ง</t>
  </si>
  <si>
    <t>การใช้งานผ่านหน้าเว็บ — localization.spec.js</t>
  </si>
  <si>
    <t>WEB-050</t>
  </si>
  <si>
    <t>โปรไฟล์ รายการ และส่วนผู้ดูแลภาษาอังกฤษคงชื่อและค่าจาก API</t>
  </si>
  <si>
    <t>WEB-051</t>
  </si>
  <si>
    <t>หน้าเข้าใช้ ความเป็นส่วนตัว และฟอร์มประกาศภาษาอังกฤษพอดีกับมือถือและไม่มีข้อผิดพลาดขณะทำงาน</t>
  </si>
  <si>
    <t>WEB-052</t>
  </si>
  <si>
    <t>เมื่อเลือกหมุดของพบ ของหาย หรือจุดรับฝาก รายละเอียดฝั่งขวาบนคอมพิวเตอร์เปลี่ยนตาม</t>
  </si>
  <si>
    <t>การใช้งานผ่านหน้าเว็บ — map-selection.spec.js</t>
  </si>
  <si>
    <t>WEB-053</t>
  </si>
  <si>
    <t>เลือกแถวด้านข้างแล้วหมุดถูกเน้น และ Escape คืนโฟกัสโดยไม่กักโฟกัสแบบหน้าต่างซ้อน</t>
  </si>
  <si>
    <t>WEB-054</t>
  </si>
  <si>
    <t>การเลือกบนมือถือใช้การ์ดรายละเอียดเดียวกัน ไม่บังเมนูล่าง และปิดด้วย Escape ได้</t>
  </si>
  <si>
    <t>WEB-055</t>
  </si>
  <si>
    <t>หมุดใช้ปุ่ม Space ได้ รองรับการลดการเคลื่อนไหว และเปลี่ยนภาษาโดยไม่แปลข้อมูลสิ่งของ</t>
  </si>
  <si>
    <t>WEB-056</t>
  </si>
  <si>
    <t>เมื่อเลือกหมุดนอก 5 รายการแรก ให้เลื่อนไปยังแถวที่ตรงกัน และล้างรายการเลือกเมื่อกรองข้อมูล</t>
  </si>
  <si>
    <t>WEB-057</t>
  </si>
  <si>
    <t>รายละเอียดที่เลือกและหมุดที่ใช้แป้นพิมพ์ได้ผ่านการตรวจการเข้าถึงระดับ AA อัตโนมัติ</t>
  </si>
  <si>
    <t>WEB-058</t>
  </si>
  <si>
    <t>หน้าจับคู่ของผู้ดูแลแยกคะแนนข้อความและภาพที่เป็น 0 และนำการสแกนซ้ำเข้าคิวอย่างปลอดภัย</t>
  </si>
  <si>
    <t>การใช้งานผ่านหน้าเว็บ — matching.spec.js</t>
  </si>
  <si>
    <t>WEB-059</t>
  </si>
  <si>
    <t>คะแนนเก่าต้องไม่ถูกนำเสนอว่าเป็นคู่ 100% ที่ตรวจรูปแล้ว</t>
  </si>
  <si>
    <t>WEB-060</t>
  </si>
  <si>
    <t>หน้าจับคู่ของผู้ใช้อัปเดตงานค้าง และแสดงหลักฐานตามภาษาโดยไม่เปิดเหตุผล AI ส่วนตัว</t>
  </si>
  <si>
    <t>WEB-061</t>
  </si>
  <si>
    <t>คู่ที่เจ้าหน้าที่ยืนยันอนุญาตให้ขอรับคืนได้ โดยไม่อ้างหลักฐานภาพที่ไม่ผ่านว่าเป็นข้อพิสูจน์เจ้าของ</t>
  </si>
  <si>
    <t>WEB-062</t>
  </si>
  <si>
    <t>แสดงความแตกต่างระหว่างวิเคราะห์ภาพล้มเหลวกับค้นหาเสร็จแต่ไม่พบคู่</t>
  </si>
  <si>
    <t>WEB-063</t>
  </si>
  <si>
    <t>แถบข้างคอมพิวเตอร์ขยายซ้อนหน้าโดยไม่ขยับเนื้อหา เมื่อชี้เมาส์หรือโฟกัสด้วยแป้นพิมพ์ ที่ความกว้าง 701px</t>
  </si>
  <si>
    <t>การใช้งานผ่านหน้าเว็บ — navbar-quick-filter.spec.js</t>
  </si>
  <si>
    <t>WEB-064</t>
  </si>
  <si>
    <t>แถบข้างคอมพิวเตอร์ขยายซ้อนหน้าโดยไม่ขยับเนื้อหา เมื่อชี้เมาส์หรือโฟกัสด้วยแป้นพิมพ์ ที่ความกว้าง 1024px</t>
  </si>
  <si>
    <t>WEB-065</t>
  </si>
  <si>
    <t>แถบข้างคอมพิวเตอร์ขยายซ้อนหน้าโดยไม่ขยับเนื้อหา เมื่อชี้เมาส์หรือโฟกัสด้วยแป้นพิมพ์ ที่ความกว้าง 1440px</t>
  </si>
  <si>
    <t>WEB-066</t>
  </si>
  <si>
    <t>แถบข้างคอมพิวเตอร์ขยายซ้อนหน้าโดยไม่ขยับเนื้อหา เมื่อชี้เมาส์หรือโฟกัสด้วยแป้นพิมพ์ ที่ความกว้าง 1920px</t>
  </si>
  <si>
    <t>WEB-067</t>
  </si>
  <si>
    <t>ตัวกรองด่วนมีผลทันที คงค่าที่ใช้กรอง ตั้งเลขหน้าใหม่ และสอดคล้องกับตัวกรองขั้นสูง ที่ความกว้าง 390px</t>
  </si>
  <si>
    <t>WEB-068</t>
  </si>
  <si>
    <t>ตัวกรองด่วนมีผลทันที คงค่าที่ใช้กรอง ตั้งเลขหน้าใหม่ และสอดคล้องกับตัวกรองขั้นสูง ที่ความกว้าง 1440px</t>
  </si>
  <si>
    <t>WEB-069</t>
  </si>
  <si>
    <t>แถบเลื่อนตัวกรองด่วนมีระยะเผื่อ และไอคอนแถบข้างคอมพิวเตอร์ยังเรียงตรงเมื่อชี้เมาส์</t>
  </si>
  <si>
    <t>การใช้งานผ่านหน้าเว็บ — navigation-spacing.spec.js</t>
  </si>
  <si>
    <t>WEB-070</t>
  </si>
  <si>
    <t>ฟอร์มในโหมดพัฒนาเปิดได้โดยไม่โหลดทั้งหน้าใหม่ซ้ำต่อเนื่อง</t>
  </si>
  <si>
    <t>การใช้งานผ่านหน้าเว็บ — posting-dev-smoke.spec.js</t>
  </si>
  <si>
    <t>WEB-071</t>
  </si>
  <si>
    <t>ฟอร์มแจ้งของหายตามแบบ Figma ยังคงใช้งานได้ที่ความกว้าง 320px</t>
  </si>
  <si>
    <t>การใช้งานผ่านหน้าเว็บ — posting-figma.spec.js</t>
  </si>
  <si>
    <t>WEB-072</t>
  </si>
  <si>
    <t>ฟอร์มแจ้งของพบตามแบบ Figma ยังคงใช้งานได้ที่ความกว้าง 320px</t>
  </si>
  <si>
    <t>WEB-073</t>
  </si>
  <si>
    <t>ฟอร์มแจ้งของหายตามแบบ Figma ยังคงใช้งานได้ที่ความกว้าง 375px</t>
  </si>
  <si>
    <t>WEB-074</t>
  </si>
  <si>
    <t>ฟอร์มแจ้งของพบตามแบบ Figma ยังคงใช้งานได้ที่ความกว้าง 375px</t>
  </si>
  <si>
    <t>WEB-075</t>
  </si>
  <si>
    <t>ฟอร์มแจ้งของหายตามแบบ Figma ยังคงใช้งานได้ที่ความกว้าง 390px</t>
  </si>
  <si>
    <t>WEB-076</t>
  </si>
  <si>
    <t>ฟอร์มแจ้งของพบตามแบบ Figma ยังคงใช้งานได้ที่ความกว้าง 390px</t>
  </si>
  <si>
    <t>WEB-077</t>
  </si>
  <si>
    <t>ฟอร์มแจ้งของหายตามแบบ Figma ยังคงใช้งานได้ที่ความกว้าง 700px</t>
  </si>
  <si>
    <t>WEB-078</t>
  </si>
  <si>
    <t>ฟอร์มแจ้งของพบตามแบบ Figma ยังคงใช้งานได้ที่ความกว้าง 700px</t>
  </si>
  <si>
    <t>WEB-079</t>
  </si>
  <si>
    <t>ฟอร์มแจ้งของหายตามแบบ Figma ยังคงใช้งานได้ที่ความกว้าง 701px</t>
  </si>
  <si>
    <t>WEB-080</t>
  </si>
  <si>
    <t>ฟอร์มแจ้งของพบตามแบบ Figma ยังคงใช้งานได้ที่ความกว้าง 701px</t>
  </si>
  <si>
    <t>WEB-081</t>
  </si>
  <si>
    <t>ฟอร์มแจ้งของหายตามแบบ Figma ยังคงใช้งานได้ที่ความกว้าง 1024px</t>
  </si>
  <si>
    <t>WEB-082</t>
  </si>
  <si>
    <t>ฟอร์มแจ้งของพบตามแบบ Figma ยังคงใช้งานได้ที่ความกว้าง 1024px</t>
  </si>
  <si>
    <t>WEB-083</t>
  </si>
  <si>
    <t>ฟอร์มแจ้งของหายตามแบบ Figma ยังคงใช้งานได้ที่ความกว้าง 1440px</t>
  </si>
  <si>
    <t>WEB-084</t>
  </si>
  <si>
    <t>ฟอร์มแจ้งของพบตามแบบ Figma ยังคงใช้งานได้ที่ความกว้าง 1440px</t>
  </si>
  <si>
    <t>WEB-085</t>
  </si>
  <si>
    <t>ฟอร์มและข้อความผิดพลาดภาษาอังกฤษยังรองรับการเข้าถึงที่ความกว้าง 375px</t>
  </si>
  <si>
    <t>WEB-086</t>
  </si>
  <si>
    <t>ฟอร์มและข้อความผิดพลาดภาษาอังกฤษยังรองรับการเข้าถึงที่ความกว้าง 1440px</t>
  </si>
  <si>
    <t>WEB-087</t>
  </si>
  <si>
    <t>แผนที่บนมือถือจำกัดโฟกัสภายใน ปิดด้วย Escape และรักษาค่าฟอร์มเมื่อเปลี่ยนขนาดจอ</t>
  </si>
  <si>
    <t>WEB-088</t>
  </si>
  <si>
    <t>การค้นหามีเมนูขั้นสูงแห่งเดียว และตัวกรองด่วนมีค่าตรงกันที่ความกว้าง 390px</t>
  </si>
  <si>
    <t>การใช้งานผ่านหน้าเว็บ — posting-ui.spec.js</t>
  </si>
  <si>
    <t>WEB-089</t>
  </si>
  <si>
    <t>การแจ้งของหายแสดงตามรูปแบบและยืนยันการบันทึกผ่าน API สำเร็จที่ความกว้าง 390px</t>
  </si>
  <si>
    <t>WEB-090</t>
  </si>
  <si>
    <t>การแจ้งของพบแสดงตามรูปแบบและยืนยันการบันทึกผ่าน API สำเร็จที่ความกว้าง 390px</t>
  </si>
  <si>
    <t>WEB-091</t>
  </si>
  <si>
    <t>การค้นหามีเมนูขั้นสูงแห่งเดียว และตัวกรองด่วนมีค่าตรงกันที่ความกว้าง 1440px</t>
  </si>
  <si>
    <t>WEB-092</t>
  </si>
  <si>
    <t>การแจ้งของหายแสดงตามรูปแบบและยืนยันการบันทึกผ่าน API สำเร็จที่ความกว้าง 1440px</t>
  </si>
  <si>
    <t>WEB-093</t>
  </si>
  <si>
    <t>การแจ้งของพบแสดงตามรูปแบบและยืนยันการบันทึกผ่าน API สำเร็จที่ความกว้าง 1440px</t>
  </si>
  <si>
    <t>WEB-094</t>
  </si>
  <si>
    <t>เมื่อโพสต์ล้มเหลว ต้องคงค่าฟอร์ม แสดงข้อผิดพลาด และไม่แจ้งว่าสำเร็จ</t>
  </si>
  <si>
    <t>WEB-095</t>
  </si>
  <si>
    <t>เมื่อกรอกไม่ครบหรือใช้รูปชนิดที่ไม่รองรับ ต้องแจ้งเตือนโดยไม่ส่งข้อมูล</t>
  </si>
  <si>
    <t>WEB-096</t>
  </si>
  <si>
    <t>ตัวเลือกแจ้งของหาย/ของพบมีรูปทรงตามขนาดจอและเปลี่ยนหน้าได้ ที่ความกว้าง 320px</t>
  </si>
  <si>
    <t>การใช้งานผ่านหน้าเว็บ — report-choice.spec.js</t>
  </si>
  <si>
    <t>WEB-097</t>
  </si>
  <si>
    <t>ตัวเลือกแจ้งของหาย/ของพบมีรูปทรงตามขนาดจอและเปลี่ยนหน้าได้ ที่ความกว้าง 390px</t>
  </si>
  <si>
    <t>WEB-098</t>
  </si>
  <si>
    <t>ตัวเลือกแจ้งของหาย/ของพบมีรูปทรงตามขนาดจอและเปลี่ยนหน้าได้ ที่ความกว้าง 700px</t>
  </si>
  <si>
    <t>WEB-099</t>
  </si>
  <si>
    <t>ตัวเลือกแจ้งของหาย/ของพบมีรูปทรงตามขนาดจอและเปลี่ยนหน้าได้ ที่ความกว้าง 701px</t>
  </si>
  <si>
    <t>WEB-100</t>
  </si>
  <si>
    <t>ตัวเลือกแจ้งของหาย/ของพบมีรูปทรงตามขนาดจอและเปลี่ยนหน้าได้ ที่ความกว้าง 1024px</t>
  </si>
  <si>
    <t>WEB-101</t>
  </si>
  <si>
    <t>ตัวเลือกแจ้งของหาย/ของพบมีรูปทรงตามขนาดจอและเปลี่ยนหน้าได้ ที่ความกว้าง 1440px</t>
  </si>
  <si>
    <t>WEB-102</t>
  </si>
  <si>
    <t>รองรับแป้นพิมพ์ การกดพื้นหลัง เปิดซ้ำ ล็อกการเลื่อนหน้า และหน้าจอเตี้ย</t>
  </si>
  <si>
    <t>WEB-103</t>
  </si>
  <si>
    <t>รูปแบบภาษาอังกฤษและแบบความต่างสีสูงยังใช้งานได้เมื่อเลือกการลดการเคลื่อนไหว</t>
  </si>
  <si>
    <t>WEB-104</t>
  </si>
  <si>
    <t>บันทึกข้อจำกัดความต่างสีของชุดสี Figma เดิม โดยไม่ซ่อนผลตรวจที่ไม่ผ่าน</t>
  </si>
  <si>
    <t>รันบน Microsoft Edge กับ API + ฐานจำลอง: ผ่านทั้งหมด (ชื่อ test เปลี่ยนเป็น “default report choices meet AA contrast without hiding violations” — ตำแหน่งเดียวกันในไฟล์)</t>
  </si>
  <si>
    <t>QA-TEST-04</t>
  </si>
  <si>
    <t>WEB-105</t>
  </si>
  <si>
    <t>การแจ้งเตือนระบบแสดงในรายการ และทำเครื่องหมายว่าอ่านแล้วได้</t>
  </si>
  <si>
    <t>การใช้งานผ่านหน้าเว็บ — system-notifications.spec.js</t>
  </si>
  <si>
    <t>WEB-106</t>
  </si>
  <si>
    <t>หน้าสาธารณะพอดีกับมือถือแคบและแท็บเล็ต</t>
  </si>
  <si>
    <t>การใช้งานผ่านหน้าเว็บ — ui-consistency.spec.js</t>
  </si>
  <si>
    <t>WEB-107</t>
  </si>
  <si>
    <t>สถานะขณะกดมองเห็นได้โดยไม่ทำให้ตำแหน่งขยับ และปุ่มที่ปิดอยู่ยังใช้งานไม่ได้</t>
  </si>
  <si>
    <t>QA-TEST-05</t>
  </si>
  <si>
    <t>WEB-108</t>
  </si>
  <si>
    <t>กล่องยืนยันพอดีกับจอเตี้ย กักโฟกัสภายใน และคืนโฟกัสให้ปุ่มที่เปิดกล่อง</t>
  </si>
  <si>
    <t>WEB-109</t>
  </si>
  <si>
    <t>หน้าต่างผู้ดูแลอยู่ภายในจอเตี้ย และปิดได้โดยไม่บันทึก</t>
  </si>
  <si>
    <t>WEB-110</t>
  </si>
  <si>
    <t>ข้อความตารางผู้ดูแลและปุ่มแผนที่มีสัดส่วนที่ใช้งานได้</t>
  </si>
  <si>
    <t>WEB-111</t>
  </si>
  <si>
    <t>รูปแบบทุกหน้าของระบบที่ความกว้าง 320px</t>
  </si>
  <si>
    <t>WEB-112</t>
  </si>
  <si>
    <t>รูปแบบทุกหน้าของระบบที่ความกว้าง 390px</t>
  </si>
  <si>
    <t>WEB-113</t>
  </si>
  <si>
    <t>รูปแบบทุกหน้าของระบบที่ความกว้าง 768px</t>
  </si>
  <si>
    <t>WEB-114</t>
  </si>
  <si>
    <t>รูปแบบทุกหน้าของระบบที่ความกว้าง 1440px</t>
  </si>
  <si>
    <t>WEB-115</t>
  </si>
  <si>
    <t>ปุ่มค้นหา การ์ด และเมนูล่างมีสัดส่วนสมดุลที่ความกว้าง 320px</t>
  </si>
  <si>
    <t>การใช้งานผ่านหน้าเว็บ — ui-polish.spec.js</t>
  </si>
  <si>
    <t>WEB-116</t>
  </si>
  <si>
    <t>ปุ่มภาษาและปุ่มรูปโปรไฟล์ในตั้งค่ามีขนาดสม่ำเสมอที่ความกว้าง 320px</t>
  </si>
  <si>
    <t>WEB-117</t>
  </si>
  <si>
    <t>ปุ่มค้นหา การ์ด และเมนูล่างมีสัดส่วนสมดุลที่ความกว้าง 390px</t>
  </si>
  <si>
    <t>WEB-118</t>
  </si>
  <si>
    <t>ปุ่มภาษาและปุ่มรูปโปรไฟล์ในตั้งค่ามีขนาดสม่ำเสมอที่ความกว้าง 390px</t>
  </si>
  <si>
    <t>WEB-119</t>
  </si>
  <si>
    <t>ปุ่มค้นหา การ์ด และเมนูล่างมีสัดส่วนสมดุลที่ความกว้าง 768px</t>
  </si>
  <si>
    <t>WEB-120</t>
  </si>
  <si>
    <t>ปุ่มภาษาและปุ่มรูปโปรไฟล์ในตั้งค่ามีขนาดสม่ำเสมอที่ความกว้าง 768px</t>
  </si>
  <si>
    <t>WEB-121</t>
  </si>
  <si>
    <t>ปุ่มค้นหา การ์ด และเมนูล่างมีสัดส่วนสมดุลที่ความกว้าง 1440px</t>
  </si>
  <si>
    <t>WEB-122</t>
  </si>
  <si>
    <t>ปุ่มภาษาและปุ่มรูปโปรไฟล์ในตั้งค่ามีขนาดสม่ำเสมอที่ความกว้าง 1440px</t>
  </si>
  <si>
    <t>ROLE-001</t>
  </si>
  <si>
    <t>ผู้ไม่เข้าสู่ระบบ — GET /api/admin/manage/operations</t>
  </si>
  <si>
    <t>ตารางตรวจสิทธิ์ตามบทบาทและ API</t>
  </si>
  <si>
    <t>ใช้ PostgreSQL จริงที่สร้างใหม่แยกต่างหาก พร้อมบัญชีสังเคราะห์ของผู้ไม่เข้าสู่ระบบ นิสิต เจ้าหน้าที่ และผู้ดูแลสูงสุด ไม่ใช้ข้อมูล production</t>
  </si>
  <si>
    <t>สร้างเซสชันสังเคราะห์ ส่งคำขอด้วยบทบาท วิธี HTTP และเส้นทางที่ระบุ แล้วตรวจรหัสตอบกลับหรือสถานะการส่งมอบที่บันทึก</t>
  </si>
  <si>
    <t>บัญชี qa-student/qa-finder/qa-staff และลักษณะรอยตำหนิสังเคราะห์ ไม่มีข้อมูลตัวตนบุคคลจริง</t>
  </si>
  <si>
    <t>ตอบ HTTP 401</t>
  </si>
  <si>
    <t>ตรวจสิทธิ์ผ่าน API: guest GET /api/admin/manage/operations — PGlite: Pass; PostgreSQL จริง: Pass</t>
  </si>
  <si>
    <t>สูง/P1</t>
  </si>
  <si>
    <t>unit.log, postgres.log</t>
  </si>
  <si>
    <t>ROLE-002</t>
  </si>
  <si>
    <t>นิสิต — GET /api/admin/manage/operations</t>
  </si>
  <si>
    <t>ตรวจสิทธิ์ผ่าน API: student GET /api/admin/manage/operations — PGlite: Pass; PostgreSQL จริง: Pass</t>
  </si>
  <si>
    <t>ROLE-003</t>
  </si>
  <si>
    <t>ผู้ไม่เข้าสู่ระบบ — GET /api/admin/manage/staff-notifications</t>
  </si>
  <si>
    <t>ตรวจสิทธิ์ผ่าน API: guest GET /api/admin/manage/staff-notifications — PGlite: Pass; PostgreSQL จริง: Pass</t>
  </si>
  <si>
    <t>ROLE-004</t>
  </si>
  <si>
    <t>นิสิต — GET /api/admin/manage/staff-notifications</t>
  </si>
  <si>
    <t>ตรวจสิทธิ์ผ่าน API: student GET /api/admin/manage/staff-notifications — PGlite: Pass; PostgreSQL จริง: Pass</t>
  </si>
  <si>
    <t>ROLE-005</t>
  </si>
  <si>
    <t>ผู้ไม่เข้าสู่ระบบ — GET /api/admin/manage/privacy-requests</t>
  </si>
  <si>
    <t>ตรวจสิทธิ์ผ่าน API: guest GET /api/admin/manage/privacy-requests — PGlite: Pass; PostgreSQL จริง: Pass</t>
  </si>
  <si>
    <t>ROLE-006</t>
  </si>
  <si>
    <t>นิสิต — GET /api/admin/manage/privacy-requests</t>
  </si>
  <si>
    <t>ตรวจสิทธิ์ผ่าน API: student GET /api/admin/manage/privacy-requests — PGlite: Pass; PostgreSQL จริง: Pass</t>
  </si>
  <si>
    <t>ROLE-007</t>
  </si>
  <si>
    <t>ผู้ไม่เข้าสู่ระบบ — PATCH /api/admin/manage/privacy-requests/999999</t>
  </si>
  <si>
    <t>ตรวจสิทธิ์ผ่าน API: guest PATCH /api/admin/manage/privacy-requests/999999 — PGlite: Pass; PostgreSQL จริง: Pass</t>
  </si>
  <si>
    <t>ROLE-008</t>
  </si>
  <si>
    <t>นิสิต — PATCH /api/admin/manage/privacy-requests/999999</t>
  </si>
  <si>
    <t>ตรวจสิทธิ์ผ่าน API: student PATCH /api/admin/manage/privacy-requests/999999 — PGlite: Pass; PostgreSQL จริง: Pass</t>
  </si>
  <si>
    <t>ROLE-009</t>
  </si>
  <si>
    <t>ผู้ไม่เข้าสู่ระบบ — GET /api/admin/manage/settings</t>
  </si>
  <si>
    <t>ตรวจสิทธิ์ผ่าน API: guest GET /api/admin/manage/settings — PGlite: Pass; PostgreSQL จริง: Pass</t>
  </si>
  <si>
    <t>ROLE-010</t>
  </si>
  <si>
    <t>นิสิต — GET /api/admin/manage/settings</t>
  </si>
  <si>
    <t>ตรวจสิทธิ์ผ่าน API: student GET /api/admin/manage/settings — PGlite: Pass; PostgreSQL จริง: Pass</t>
  </si>
  <si>
    <t>ROLE-011</t>
  </si>
  <si>
    <t>ผู้ไม่เข้าสู่ระบบ — PUT /api/admin/manage/settings</t>
  </si>
  <si>
    <t>ตรวจสิทธิ์ผ่าน API: guest PUT /api/admin/manage/settings — PGlite: Pass; PostgreSQL จริง: Pass</t>
  </si>
  <si>
    <t>ROLE-012</t>
  </si>
  <si>
    <t>นิสิต — PUT /api/admin/manage/settings</t>
  </si>
  <si>
    <t>ตรวจสิทธิ์ผ่าน API: student PUT /api/admin/manage/settings — PGlite: Pass; PostgreSQL จริง: Pass</t>
  </si>
  <si>
    <t>ROLE-013</t>
  </si>
  <si>
    <t>ผู้ไม่เข้าสู่ระบบ — POST /api/admin/manage/retention/run</t>
  </si>
  <si>
    <t>ตรวจสิทธิ์ผ่าน API: guest POST /api/admin/manage/retention/run — PGlite: Pass; PostgreSQL จริง: Pass</t>
  </si>
  <si>
    <t>ROLE-014</t>
  </si>
  <si>
    <t>นิสิต — POST /api/admin/manage/retention/run</t>
  </si>
  <si>
    <t>ตรวจสิทธิ์ผ่าน API: student POST /api/admin/manage/retention/run — PGlite: Pass; PostgreSQL จริง: Pass</t>
  </si>
  <si>
    <t>ROLE-015</t>
  </si>
  <si>
    <t>ผู้ไม่เข้าสู่ระบบ — GET /api/admin/manage/points</t>
  </si>
  <si>
    <t>ตรวจสิทธิ์ผ่าน API: guest GET /api/admin/manage/points — PGlite: Pass; PostgreSQL จริง: Pass</t>
  </si>
  <si>
    <t>ROLE-016</t>
  </si>
  <si>
    <t>นิสิต — GET /api/admin/manage/points</t>
  </si>
  <si>
    <t>ตรวจสิทธิ์ผ่าน API: student GET /api/admin/manage/points — PGlite: Pass; PostgreSQL จริง: Pass</t>
  </si>
  <si>
    <t>ROLE-017</t>
  </si>
  <si>
    <t>ผู้ไม่เข้าสู่ระบบ — POST /api/admin/manage/points</t>
  </si>
  <si>
    <t>ตรวจสิทธิ์ผ่าน API: guest POST /api/admin/manage/points — PGlite: Pass; PostgreSQL จริง: Pass</t>
  </si>
  <si>
    <t>ROLE-018</t>
  </si>
  <si>
    <t>นิสิต — POST /api/admin/manage/points</t>
  </si>
  <si>
    <t>ตรวจสิทธิ์ผ่าน API: student POST /api/admin/manage/points — PGlite: Pass; PostgreSQL จริง: Pass</t>
  </si>
  <si>
    <t>ROLE-019</t>
  </si>
  <si>
    <t>ผู้ไม่เข้าสู่ระบบ — PUT /api/admin/manage/points/999999</t>
  </si>
  <si>
    <t>ตรวจสิทธิ์ผ่าน API: guest PUT /api/admin/manage/points/999999 — PGlite: Pass; PostgreSQL จริง: Pass</t>
  </si>
  <si>
    <t>ROLE-020</t>
  </si>
  <si>
    <t>นิสิต — PUT /api/admin/manage/points/999999</t>
  </si>
  <si>
    <t>ตรวจสิทธิ์ผ่าน API: student PUT /api/admin/manage/points/999999 — PGlite: Pass; PostgreSQL จริง: Pass</t>
  </si>
  <si>
    <t>ROLE-021</t>
  </si>
  <si>
    <t>ผู้ไม่เข้าสู่ระบบ — GET /api/admin/manage/users</t>
  </si>
  <si>
    <t>ตรวจสิทธิ์ผ่าน API: guest GET /api/admin/manage/users — PGlite: Pass; PostgreSQL จริง: Pass</t>
  </si>
  <si>
    <t>ROLE-022</t>
  </si>
  <si>
    <t>นิสิต — GET /api/admin/manage/users</t>
  </si>
  <si>
    <t>ตรวจสิทธิ์ผ่าน API: student GET /api/admin/manage/users — PGlite: Pass; PostgreSQL จริง: Pass</t>
  </si>
  <si>
    <t>ROLE-023</t>
  </si>
  <si>
    <t>ผู้ไม่เข้าสู่ระบบ — POST /api/admin/manage/users</t>
  </si>
  <si>
    <t>ตรวจสิทธิ์ผ่าน API: guest POST /api/admin/manage/users — PGlite: Pass; PostgreSQL จริง: Pass</t>
  </si>
  <si>
    <t>ROLE-024</t>
  </si>
  <si>
    <t>นิสิต — POST /api/admin/manage/users</t>
  </si>
  <si>
    <t>ตรวจสิทธิ์ผ่าน API: student POST /api/admin/manage/users — PGlite: Pass; PostgreSQL จริง: Pass</t>
  </si>
  <si>
    <t>ROLE-025</t>
  </si>
  <si>
    <t>ผู้ไม่เข้าสู่ระบบ — PUT /api/admin/manage/users/999999</t>
  </si>
  <si>
    <t>ตรวจสิทธิ์ผ่าน API: guest PUT /api/admin/manage/users/999999 — PGlite: Pass; PostgreSQL จริง: Pass</t>
  </si>
  <si>
    <t>ROLE-026</t>
  </si>
  <si>
    <t>นิสิต — PUT /api/admin/manage/users/999999</t>
  </si>
  <si>
    <t>ตรวจสิทธิ์ผ่าน API: student PUT /api/admin/manage/users/999999 — PGlite: Pass; PostgreSQL จริง: Pass</t>
  </si>
  <si>
    <t>ROLE-027</t>
  </si>
  <si>
    <t>ผู้ไม่เข้าสู่ระบบ — GET /api/admin/manage/items/found</t>
  </si>
  <si>
    <t>ตรวจสิทธิ์ผ่าน API: guest GET /api/admin/manage/items/found — PGlite: Pass; PostgreSQL จริง: Pass</t>
  </si>
  <si>
    <t>ROLE-028</t>
  </si>
  <si>
    <t>นิสิต — GET /api/admin/manage/items/found</t>
  </si>
  <si>
    <t>ตรวจสิทธิ์ผ่าน API: student GET /api/admin/manage/items/found — PGlite: Pass; PostgreSQL จริง: Pass</t>
  </si>
  <si>
    <t>ROLE-029</t>
  </si>
  <si>
    <t>ผู้ไม่เข้าสู่ระบบ — PATCH /api/admin/manage/items/found/999999</t>
  </si>
  <si>
    <t>ตรวจสิทธิ์ผ่าน API: guest PATCH /api/admin/manage/items/found/999999 — PGlite: Pass; PostgreSQL จริง: Pass</t>
  </si>
  <si>
    <t>ROLE-030</t>
  </si>
  <si>
    <t>นิสิต — PATCH /api/admin/manage/items/found/999999</t>
  </si>
  <si>
    <t>ตรวจสิทธิ์ผ่าน API: student PATCH /api/admin/manage/items/found/999999 — PGlite: Pass; PostgreSQL จริง: Pass</t>
  </si>
  <si>
    <t>ROLE-031</t>
  </si>
  <si>
    <t>ผู้ไม่เข้าสู่ระบบ — GET /api/admin/manage/audit</t>
  </si>
  <si>
    <t>ตรวจสิทธิ์ผ่าน API: guest GET /api/admin/manage/audit — PGlite: Pass; PostgreSQL จริง: Pass</t>
  </si>
  <si>
    <t>ROLE-032</t>
  </si>
  <si>
    <t>นิสิต — GET /api/admin/manage/audit</t>
  </si>
  <si>
    <t>ตรวจสิทธิ์ผ่าน API: student GET /api/admin/manage/audit — PGlite: Pass; PostgreSQL จริง: Pass</t>
  </si>
  <si>
    <t>ROLE-033</t>
  </si>
  <si>
    <t>ผู้ไม่เข้าสู่ระบบ — GET /api/admin/manage/matches</t>
  </si>
  <si>
    <t>ตรวจสิทธิ์ผ่าน API: guest GET /api/admin/manage/matches — PGlite: Pass; PostgreSQL จริง: Pass</t>
  </si>
  <si>
    <t>ROLE-034</t>
  </si>
  <si>
    <t>นิสิต — GET /api/admin/manage/matches</t>
  </si>
  <si>
    <t>ตรวจสิทธิ์ผ่าน API: student GET /api/admin/manage/matches — PGlite: Pass; PostgreSQL จริง: Pass</t>
  </si>
  <si>
    <t>ROLE-035</t>
  </si>
  <si>
    <t>ผู้ไม่เข้าสู่ระบบ — PATCH /api/admin/manage/matches/999999</t>
  </si>
  <si>
    <t>ตรวจสิทธิ์ผ่าน API: guest PATCH /api/admin/manage/matches/999999 — PGlite: Pass; PostgreSQL จริง: Pass</t>
  </si>
  <si>
    <t>ROLE-036</t>
  </si>
  <si>
    <t>นิสิต — PATCH /api/admin/manage/matches/999999</t>
  </si>
  <si>
    <t>ตรวจสิทธิ์ผ่าน API: student PATCH /api/admin/manage/matches/999999 — PGlite: Pass; PostgreSQL จริง: Pass</t>
  </si>
  <si>
    <t>ROLE-037</t>
  </si>
  <si>
    <t>ผู้ไม่เข้าสู่ระบบ — POST /api/admin/manage/matches/rescan</t>
  </si>
  <si>
    <t>ตรวจสิทธิ์ผ่าน API: guest POST /api/admin/manage/matches/rescan — PGlite: Pass; PostgreSQL จริง: Pass</t>
  </si>
  <si>
    <t>ROLE-038</t>
  </si>
  <si>
    <t>นิสิต — POST /api/admin/manage/matches/rescan</t>
  </si>
  <si>
    <t>ตรวจสิทธิ์ผ่าน API: student POST /api/admin/manage/matches/rescan — PGlite: Pass; PostgreSQL จริง: Pass</t>
  </si>
  <si>
    <t>ROLE-039</t>
  </si>
  <si>
    <t>ผู้ไม่เข้าสู่ระบบ — GET /api/admin/manage/claims</t>
  </si>
  <si>
    <t>ตรวจสิทธิ์ผ่าน API: guest GET /api/admin/manage/claims — PGlite: Pass; PostgreSQL จริง: Pass</t>
  </si>
  <si>
    <t>ROLE-040</t>
  </si>
  <si>
    <t>นิสิต — GET /api/admin/manage/claims</t>
  </si>
  <si>
    <t>ตรวจสิทธิ์ผ่าน API: student GET /api/admin/manage/claims — PGlite: Pass; PostgreSQL จริง: Pass</t>
  </si>
  <si>
    <t>ROLE-041</t>
  </si>
  <si>
    <t>ผู้ไม่เข้าสู่ระบบ — GET /api/admin/manage/claims/history</t>
  </si>
  <si>
    <t>ตรวจสิทธิ์ผ่าน API: guest GET /api/admin/manage/claims/history — PGlite: Pass; PostgreSQL จริง: Pass</t>
  </si>
  <si>
    <t>ROLE-042</t>
  </si>
  <si>
    <t>นิสิต — GET /api/admin/manage/claims/history</t>
  </si>
  <si>
    <t>ตรวจสิทธิ์ผ่าน API: student GET /api/admin/manage/claims/history — PGlite: Pass; PostgreSQL จริง: Pass</t>
  </si>
  <si>
    <t>ROLE-043</t>
  </si>
  <si>
    <t>ผู้ไม่เข้าสู่ระบบ — PATCH /api/admin/manage/claims/999999</t>
  </si>
  <si>
    <t>ตรวจสิทธิ์ผ่าน API: guest PATCH /api/admin/manage/claims/999999 — PGlite: Pass; PostgreSQL จริง: Pass</t>
  </si>
  <si>
    <t>ROLE-044</t>
  </si>
  <si>
    <t>นิสิต — PATCH /api/admin/manage/claims/999999</t>
  </si>
  <si>
    <t>ตรวจสิทธิ์ผ่าน API: student PATCH /api/admin/manage/claims/999999 — PGlite: Pass; PostgreSQL จริง: Pass</t>
  </si>
  <si>
    <t>ROLE-045</t>
  </si>
  <si>
    <t>ผู้ไม่เข้าสู่ระบบ — GET /api/admin/manage/tickets</t>
  </si>
  <si>
    <t>ตรวจสิทธิ์ผ่าน API: guest GET /api/admin/manage/tickets — PGlite: Pass; PostgreSQL จริง: Pass</t>
  </si>
  <si>
    <t>ROLE-046</t>
  </si>
  <si>
    <t>นิสิต — GET /api/admin/manage/tickets</t>
  </si>
  <si>
    <t>ตรวจสิทธิ์ผ่าน API: student GET /api/admin/manage/tickets — PGlite: Pass; PostgreSQL จริง: Pass</t>
  </si>
  <si>
    <t>ROLE-047</t>
  </si>
  <si>
    <t>ผู้ไม่เข้าสู่ระบบ — POST /api/admin/manage/tickets</t>
  </si>
  <si>
    <t>ตรวจสิทธิ์ผ่าน API: guest POST /api/admin/manage/tickets — PGlite: Pass; PostgreSQL จริง: Pass</t>
  </si>
  <si>
    <t>ROLE-048</t>
  </si>
  <si>
    <t>นิสิต — POST /api/admin/manage/tickets</t>
  </si>
  <si>
    <t>ตรวจสิทธิ์ผ่าน API: student POST /api/admin/manage/tickets — PGlite: Pass; PostgreSQL จริง: Pass</t>
  </si>
  <si>
    <t>ROLE-049</t>
  </si>
  <si>
    <t>ผู้ไม่เข้าสู่ระบบ — PATCH /api/admin/manage/tickets/999999</t>
  </si>
  <si>
    <t>ตรวจสิทธิ์ผ่าน API: guest PATCH /api/admin/manage/tickets/999999 — PGlite: Pass; PostgreSQL จริง: Pass</t>
  </si>
  <si>
    <t>ROLE-050</t>
  </si>
  <si>
    <t>นิสิต — PATCH /api/admin/manage/tickets/999999</t>
  </si>
  <si>
    <t>ตรวจสิทธิ์ผ่าน API: student PATCH /api/admin/manage/tickets/999999 — PGlite: Pass; PostgreSQL จริง: Pass</t>
  </si>
  <si>
    <t>ROLE-051</t>
  </si>
  <si>
    <t>ผู้ไม่เข้าสู่ระบบ — GET /api/admin/manage/errors</t>
  </si>
  <si>
    <t>ตรวจสิทธิ์ผ่าน API: guest GET /api/admin/manage/errors — PGlite: Pass; PostgreSQL จริง: Pass</t>
  </si>
  <si>
    <t>ROLE-052</t>
  </si>
  <si>
    <t>นิสิต — GET /api/admin/manage/errors</t>
  </si>
  <si>
    <t>ตรวจสิทธิ์ผ่าน API: student GET /api/admin/manage/errors — PGlite: Pass; PostgreSQL จริง: Pass</t>
  </si>
  <si>
    <t>ROLE-053</t>
  </si>
  <si>
    <t>ผู้ไม่เข้าสู่ระบบ — GET /api/admin/manage/statistics</t>
  </si>
  <si>
    <t>ตรวจสิทธิ์ผ่าน API: guest GET /api/admin/manage/statistics — PGlite: Pass; PostgreSQL จริง: Pass</t>
  </si>
  <si>
    <t>ROLE-054</t>
  </si>
  <si>
    <t>นิสิต — GET /api/admin/manage/statistics</t>
  </si>
  <si>
    <t>ตรวจสิทธิ์ผ่าน API: student GET /api/admin/manage/statistics — PGlite: Pass; PostgreSQL จริง: Pass</t>
  </si>
  <si>
    <t>ROLE-055</t>
  </si>
  <si>
    <t>ผู้ไม่เข้าสู่ระบบ — GET /api/admin/manage/export</t>
  </si>
  <si>
    <t>ตรวจสิทธิ์ผ่าน API: guest GET /api/admin/manage/export — PGlite: Pass; PostgreSQL จริง: Pass</t>
  </si>
  <si>
    <t>ROLE-056</t>
  </si>
  <si>
    <t>นิสิต — GET /api/admin/manage/export</t>
  </si>
  <si>
    <t>ตรวจสิทธิ์ผ่าน API: student GET /api/admin/manage/export — PGlite: Pass; PostgreSQL จริง: Pass</t>
  </si>
  <si>
    <t>ROLE-057</t>
  </si>
  <si>
    <t>ผู้ไม่เข้าสู่ระบบ — GET /api/admin/manage/export/pdf</t>
  </si>
  <si>
    <t>ตรวจสิทธิ์ผ่าน API: guest GET /api/admin/manage/export/pdf — PGlite: Pass; PostgreSQL จริง: Pass</t>
  </si>
  <si>
    <t>ROLE-058</t>
  </si>
  <si>
    <t>นิสิต — GET /api/admin/manage/export/pdf</t>
  </si>
  <si>
    <t>ตรวจสิทธิ์ผ่าน API: student GET /api/admin/manage/export/pdf — PGlite: Pass; PostgreSQL จริง: Pass</t>
  </si>
  <si>
    <t>ROLE-059</t>
  </si>
  <si>
    <t>เจ้าหน้าที่ — GET /api/admin/manage/points</t>
  </si>
  <si>
    <t>ตอบ HTTP 200</t>
  </si>
  <si>
    <t>ตรวจสิทธิ์ผ่าน API: staff GET /api/admin/manage/points — PGlite: Pass; PostgreSQL จริง: Pass</t>
  </si>
  <si>
    <t>ROLE-060</t>
  </si>
  <si>
    <t>ผู้ดูแลสูงสุด — GET /api/admin/manage/points</t>
  </si>
  <si>
    <t>ตรวจสิทธิ์ผ่าน API: super-admin GET /api/admin/manage/points — PGlite: Pass; PostgreSQL จริง: Pass</t>
  </si>
  <si>
    <t>ROLE-061</t>
  </si>
  <si>
    <t>เจ้าหน้าที่ — GET /api/admin/manage/items/lost</t>
  </si>
  <si>
    <t>ตรวจสิทธิ์ผ่าน API: staff GET /api/admin/manage/items/lost — PGlite: Pass; PostgreSQL จริง: Pass</t>
  </si>
  <si>
    <t>ROLE-062</t>
  </si>
  <si>
    <t>ผู้ดูแลสูงสุด — GET /api/admin/manage/items/lost</t>
  </si>
  <si>
    <t>ตรวจสิทธิ์ผ่าน API: super-admin GET /api/admin/manage/items/lost — PGlite: Pass; PostgreSQL จริง: Pass</t>
  </si>
  <si>
    <t>ROLE-063</t>
  </si>
  <si>
    <t>เจ้าหน้าที่ — GET /api/admin/manage/items/found</t>
  </si>
  <si>
    <t>ตรวจสิทธิ์ผ่าน API: staff GET /api/admin/manage/items/found — PGlite: Pass; PostgreSQL จริง: Pass</t>
  </si>
  <si>
    <t>ROLE-064</t>
  </si>
  <si>
    <t>ผู้ดูแลสูงสุด — GET /api/admin/manage/items/found</t>
  </si>
  <si>
    <t>ตรวจสิทธิ์ผ่าน API: super-admin GET /api/admin/manage/items/found — PGlite: Pass; PostgreSQL จริง: Pass</t>
  </si>
  <si>
    <t>ROLE-065</t>
  </si>
  <si>
    <t>เจ้าหน้าที่ — GET /api/admin/manage/matches</t>
  </si>
  <si>
    <t>ตรวจสิทธิ์ผ่าน API: staff GET /api/admin/manage/matches — PGlite: Pass; PostgreSQL จริง: Pass</t>
  </si>
  <si>
    <t>ROLE-066</t>
  </si>
  <si>
    <t>ผู้ดูแลสูงสุด — GET /api/admin/manage/matches</t>
  </si>
  <si>
    <t>ตรวจสิทธิ์ผ่าน API: super-admin GET /api/admin/manage/matches — PGlite: Pass; PostgreSQL จริง: Pass</t>
  </si>
  <si>
    <t>ROLE-067</t>
  </si>
  <si>
    <t>เจ้าหน้าที่ — GET /api/admin/manage/claims</t>
  </si>
  <si>
    <t>ตรวจสิทธิ์ผ่าน API: staff GET /api/admin/manage/claims — PGlite: Pass; PostgreSQL จริง: Pass</t>
  </si>
  <si>
    <t>ROLE-068</t>
  </si>
  <si>
    <t>ผู้ดูแลสูงสุด — GET /api/admin/manage/claims</t>
  </si>
  <si>
    <t>ตรวจสิทธิ์ผ่าน API: super-admin GET /api/admin/manage/claims — PGlite: Pass; PostgreSQL จริง: Pass</t>
  </si>
  <si>
    <t>ROLE-069</t>
  </si>
  <si>
    <t>เจ้าหน้าที่ — GET /api/admin/manage/claims/history</t>
  </si>
  <si>
    <t>ตรวจสิทธิ์ผ่าน API: staff GET /api/admin/manage/claims/history — PGlite: Pass; PostgreSQL จริง: Pass</t>
  </si>
  <si>
    <t>ROLE-070</t>
  </si>
  <si>
    <t>ผู้ดูแลสูงสุด — GET /api/admin/manage/claims/history</t>
  </si>
  <si>
    <t>ตรวจสิทธิ์ผ่าน API: super-admin GET /api/admin/manage/claims/history — PGlite: Pass; PostgreSQL จริง: Pass</t>
  </si>
  <si>
    <t>ROLE-071</t>
  </si>
  <si>
    <t>เจ้าหน้าที่ — GET /api/admin/manage/tickets</t>
  </si>
  <si>
    <t>ตรวจสิทธิ์ผ่าน API: staff GET /api/admin/manage/tickets — PGlite: Pass; PostgreSQL จริง: Pass</t>
  </si>
  <si>
    <t>ROLE-072</t>
  </si>
  <si>
    <t>ผู้ดูแลสูงสุด — GET /api/admin/manage/tickets</t>
  </si>
  <si>
    <t>ตรวจสิทธิ์ผ่าน API: super-admin GET /api/admin/manage/tickets — PGlite: Pass; PostgreSQL จริง: Pass</t>
  </si>
  <si>
    <t>ROLE-073</t>
  </si>
  <si>
    <t>เจ้าหน้าที่ — GET /api/admin/manage/statistics</t>
  </si>
  <si>
    <t>ตรวจสิทธิ์ผ่าน API: staff GET /api/admin/manage/statistics — PGlite: Pass; PostgreSQL จริง: Pass</t>
  </si>
  <si>
    <t>ROLE-074</t>
  </si>
  <si>
    <t>ผู้ดูแลสูงสุด — GET /api/admin/manage/statistics</t>
  </si>
  <si>
    <t>ตรวจสิทธิ์ผ่าน API: super-admin GET /api/admin/manage/statistics — PGlite: Pass; PostgreSQL จริง: Pass</t>
  </si>
  <si>
    <t>ROLE-075</t>
  </si>
  <si>
    <t>เจ้าหน้าที่ — GET /api/admin/manage/staff-notifications</t>
  </si>
  <si>
    <t>ตรวจสิทธิ์ผ่าน API: staff GET /api/admin/manage/staff-notifications — PGlite: Pass; PostgreSQL จริง: Pass</t>
  </si>
  <si>
    <t>ROLE-076</t>
  </si>
  <si>
    <t>ผู้ดูแลสูงสุด — GET /api/admin/manage/staff-notifications</t>
  </si>
  <si>
    <t>ตรวจสิทธิ์ผ่าน API: super-admin GET /api/admin/manage/staff-notifications — PGlite: Pass; PostgreSQL จริง: Pass</t>
  </si>
  <si>
    <t>ROLE-077</t>
  </si>
  <si>
    <t>เจ้าหน้าที่ — GET /api/admin/manage/users</t>
  </si>
  <si>
    <t>ตอบ HTTP 403</t>
  </si>
  <si>
    <t>ตรวจสิทธิ์ผ่าน API: staff GET /api/admin/manage/users — PGlite: Pass; PostgreSQL จริง: Pass</t>
  </si>
  <si>
    <t>ROLE-078</t>
  </si>
  <si>
    <t>ผู้ดูแลสูงสุด — GET /api/admin/manage/users</t>
  </si>
  <si>
    <t>ตรวจสิทธิ์ผ่าน API: super-admin GET /api/admin/manage/users — PGlite: Pass; PostgreSQL จริง: Pass</t>
  </si>
  <si>
    <t>ROLE-079</t>
  </si>
  <si>
    <t>เจ้าหน้าที่ — GET /api/admin/manage/operations</t>
  </si>
  <si>
    <t>ตรวจสิทธิ์ผ่าน API: staff GET /api/admin/manage/operations — PGlite: Pass; PostgreSQL จริง: Pass</t>
  </si>
  <si>
    <t>ROLE-080</t>
  </si>
  <si>
    <t>ผู้ดูแลสูงสุด — GET /api/admin/manage/operations</t>
  </si>
  <si>
    <t>ตรวจสิทธิ์ผ่าน API: super-admin GET /api/admin/manage/operations — PGlite: Pass; PostgreSQL จริง: Pass</t>
  </si>
  <si>
    <t>ROLE-081</t>
  </si>
  <si>
    <t>เจ้าหน้าที่ — GET /api/admin/manage/privacy-requests</t>
  </si>
  <si>
    <t>ตรวจสิทธิ์ผ่าน API: staff GET /api/admin/manage/privacy-requests — PGlite: Pass; PostgreSQL จริง: Pass</t>
  </si>
  <si>
    <t>ROLE-082</t>
  </si>
  <si>
    <t>ผู้ดูแลสูงสุด — GET /api/admin/manage/privacy-requests</t>
  </si>
  <si>
    <t>ตรวจสิทธิ์ผ่าน API: super-admin GET /api/admin/manage/privacy-requests — PGlite: Pass; PostgreSQL จริง: Pass</t>
  </si>
  <si>
    <t>ROLE-083</t>
  </si>
  <si>
    <t>เจ้าหน้าที่ — POST /api/admin/manage/users</t>
  </si>
  <si>
    <t>ตรวจสิทธิ์ผ่าน API: staff POST /api/admin/manage/users — PGlite: Pass; PostgreSQL จริง: Pass</t>
  </si>
  <si>
    <t>ROLE-084</t>
  </si>
  <si>
    <t>เจ้าหน้าที่ — PUT /api/admin/manage/users/999999</t>
  </si>
  <si>
    <t>ตรวจสิทธิ์ผ่าน API: staff PUT /api/admin/manage/users/999999 — PGlite: Pass; PostgreSQL จริง: Pass</t>
  </si>
  <si>
    <t>ROLE-085</t>
  </si>
  <si>
    <t>เจ้าหน้าที่ — POST /api/admin/manage/points</t>
  </si>
  <si>
    <t>ตรวจสิทธิ์ผ่าน API: staff POST /api/admin/manage/points — PGlite: Pass; PostgreSQL จริง: Pass</t>
  </si>
  <si>
    <t>ROLE-086</t>
  </si>
  <si>
    <t>เจ้าหน้าที่ — PUT /api/admin/manage/points/999999</t>
  </si>
  <si>
    <t>ตรวจสิทธิ์ผ่าน API: staff PUT /api/admin/manage/points/999999 — PGlite: Pass; PostgreSQL จริง: Pass</t>
  </si>
  <si>
    <t>ROLE-087</t>
  </si>
  <si>
    <t>เจ้าหน้าที่ — PUT /api/admin/manage/settings</t>
  </si>
  <si>
    <t>ตรวจสิทธิ์ผ่าน API: staff PUT /api/admin/manage/settings — PGlite: Pass; PostgreSQL จริง: Pass</t>
  </si>
  <si>
    <t>ROLE-088</t>
  </si>
  <si>
    <t>เจ้าหน้าที่ — GET /api/admin/users</t>
  </si>
  <si>
    <t>ตรวจสิทธิ์ผ่าน API: staff GET /api/admin/users — PGlite: Pass; PostgreSQL จริง: Pass</t>
  </si>
  <si>
    <t>ROLE-089</t>
  </si>
  <si>
    <t>ผู้ไม่เข้าสู่ระบบ — GET /api/me/points</t>
  </si>
  <si>
    <t>ตรวจสิทธิ์ผ่าน API: guest GET /api/me/points — PGlite: Pass; PostgreSQL จริง: Pass</t>
  </si>
  <si>
    <t>ROLE-090</t>
  </si>
  <si>
    <t>นิสิต — GET /api/me/points</t>
  </si>
  <si>
    <t>ตรวจสิทธิ์ผ่าน API: student GET /api/me/points — PGlite: Pass; PostgreSQL จริง: Pass</t>
  </si>
  <si>
    <t>ROLE-091</t>
  </si>
  <si>
    <t>ผู้ไม่เข้าสู่ระบบ — GET /api/me/claims</t>
  </si>
  <si>
    <t>ตรวจสิทธิ์ผ่าน API: guest GET /api/me/claims — PGlite: Pass; PostgreSQL จริง: Pass</t>
  </si>
  <si>
    <t>ROLE-092</t>
  </si>
  <si>
    <t>นิสิต — GET /api/me/claims</t>
  </si>
  <si>
    <t>ตรวจสิทธิ์ผ่าน API: student GET /api/me/claims — PGlite: Pass; PostgreSQL จริง: Pass</t>
  </si>
  <si>
    <t>ROLE-093</t>
  </si>
  <si>
    <t>ผู้ไม่เข้าสู่ระบบ — GET /api/me/notifications</t>
  </si>
  <si>
    <t>ตรวจสิทธิ์ผ่าน API: guest GET /api/me/notifications — PGlite: Pass; PostgreSQL จริง: Pass</t>
  </si>
  <si>
    <t>ROLE-094</t>
  </si>
  <si>
    <t>นิสิต — GET /api/me/notifications</t>
  </si>
  <si>
    <t>ตรวจสิทธิ์ผ่าน API: student GET /api/me/notifications — PGlite: Pass; PostgreSQL จริง: Pass</t>
  </si>
  <si>
    <t>ROLE-095</t>
  </si>
  <si>
    <t>ผู้ไม่เข้าสู่ระบบ — GET /api/me/privacy/requests</t>
  </si>
  <si>
    <t>ตรวจสิทธิ์ผ่าน API: guest GET /api/me/privacy/requests — PGlite: Pass; PostgreSQL จริง: Pass</t>
  </si>
  <si>
    <t>ROLE-096</t>
  </si>
  <si>
    <t>นิสิต — GET /api/me/privacy/requests</t>
  </si>
  <si>
    <t>ตรวจสิทธิ์ผ่าน API: student GET /api/me/privacy/requests — PGlite: Pass; PostgreSQL จริง: Pass</t>
  </si>
  <si>
    <t>ROLE-097</t>
  </si>
  <si>
    <t>นิสิต — POST /api/me/claims</t>
  </si>
  <si>
    <t>ตอบ HTTP 201</t>
  </si>
  <si>
    <t>ตรวจสิทธิ์ผ่าน API: student POST /api/me/claims — PGlite: Pass; PostgreSQL จริง: Pass</t>
  </si>
  <si>
    <t>ROLE-098</t>
  </si>
  <si>
    <t>เจ้าหน้าที่ — PATCH /api/admin/manage/claims/1</t>
  </si>
  <si>
    <t>ตอบ HTTP 400</t>
  </si>
  <si>
    <t>ตรวจสิทธิ์ผ่าน API: staff PATCH /api/admin/manage/claims/1 — PGlite: Pass; PostgreSQL จริง: Pass</t>
  </si>
  <si>
    <t>ROLE-099</t>
  </si>
  <si>
    <t>ROLE-100</t>
  </si>
  <si>
    <t>ROLE-101</t>
  </si>
  <si>
    <t>ROLE-102</t>
  </si>
  <si>
    <t>เจ้าหน้าที่ — ตรวจสถานะการส่งมอบที่บันทึกในฐานข้อมูล</t>
  </si>
  <si>
    <t>ประกาศของหายและของพบมีสถานะ returned ทั้งสองรายการ</t>
  </si>
  <si>
    <t>ตรวจสิทธิ์ผ่าน API: handover persists both returned states — PGlite: Pass; PostgreSQL จริง: Pass</t>
  </si>
  <si>
    <t>ROLE-103</t>
  </si>
  <si>
    <t>ตอบ HTTP 409</t>
  </si>
  <si>
    <t>ROLE-104</t>
  </si>
  <si>
    <t>เจ้าหน้าที่ที่บัญชีถูกปิด — GET /api/admin/manage/claims</t>
  </si>
  <si>
    <t>ตรวจสิทธิ์ผ่าน API: inactive-staff GET /api/admin/manage/claims — PGlite: Pass; PostgreSQL จริง: Pass</t>
  </si>
  <si>
    <t>ROLE-105</t>
  </si>
  <si>
    <t>นิสิตที่บัญชีถูกปิด — GET /api/me/profile</t>
  </si>
  <si>
    <t>ตรวจสิทธิ์ผ่าน API: inactive-student GET /api/me/profile — PGlite: Pass; PostgreSQL จริง: Pass</t>
  </si>
  <si>
    <t>ROLE-106</t>
  </si>
  <si>
    <t>ผู้ส่งโทเคนไม่ถูกต้อง — GET /api/admin/profile</t>
  </si>
  <si>
    <t>ตรวจสิทธิ์ผ่าน API: invalid-token GET /api/admin/profile — PGlite: Pass; PostgreSQL จริง: Pass</t>
  </si>
  <si>
    <t>OP-01</t>
  </si>
  <si>
    <t>การเชื่อมต่อฐานข้อมูลและตารางหลัก</t>
  </si>
  <si>
    <t>ระบบและฐานข้อมูลในเครื่องที่เลือกตรวจ</t>
  </si>
  <si>
    <t>อ่านฐาน foundlost_db ในเครื่อง พอร์ต 5434 ด้วยธุรกรรม READ ONLY และ API ชั่วคราวที่ไม่เริ่มงานตามตาราง</t>
  </si>
  <si>
    <t>รันเงื่อนไขตรวจ metadata หรือ HTTP แบบอ่านอย่างเดียวและจำกัดจำนวน ตาม inspect-runtime.cjs</t>
  </si>
  <si>
    <t>ยอดรวม พาธในเครื่องที่มีอยู่ และคำขอที่ไม่ยืนยันตัวตน ไม่ส่งออกข้อมูลระบุตัวบุคคลจริง</t>
  </si>
  <si>
    <t>อ่านตารางหลักได้ครบ</t>
  </si>
  <si>
    <t>{"counts":{"users":59,"lost":7,"found":5,"points":0,"matches":0,"claims":0,"audit":9},"version":"16.15"}</t>
  </si>
  <si>
    <t>ตรวจแบบอ่านอย่างเดียวบน foundlost_db (session read-only) + API ชั่วคราวไม่มี scheduler</t>
  </si>
  <si>
    <t>OP-02</t>
  </si>
  <si>
    <t>ฟิลด์ตัวตนที่จำเป็นและตัวตนซ้ำ</t>
  </si>
  <si>
    <t>ไม่มีข้อมูลตัวตนว่าง และไม่มีอีเมลหรือรหัสซ้ำ</t>
  </si>
  <si>
    <t>{"blanks":0,"duplicate_email":0,"duplicate_id":0}</t>
  </si>
  <si>
    <t>OP-03</t>
  </si>
  <si>
    <t>ความสัมพันธ์ของประกาศของหาย ของพบ และคู่จับคู่</t>
  </si>
  <si>
    <t>ไม่พบประกาศหรือคู่จับคู่ที่ขาดผู้ใช้หรือรายการอ้างอิง</t>
  </si>
  <si>
    <t>พบข้อมูลที่ไม่มีเจ้าของ/อ้างอิง {"lost_without_user":7,"found_without_user":5,"orphan_matches":0}</t>
  </si>
  <si>
    <t>QA-DATA-01</t>
  </si>
  <si>
    <t>OP-04</t>
  </si>
  <si>
    <t>ความพร้อมของบทบาทผู้ใช้งาน</t>
  </si>
  <si>
    <t>มีเจ้าหน้าที่ที่เปิดใช้และมีผู้ดูแล โดยแสดงเฉพาะยอดรวม</t>
  </si>
  <si>
    <t>ไม่มีเจ้าหน้าที่ที่เปิดใช้งาน {"roles":[{"role":"student","is_active":true,"n":59}],"admins":0}</t>
  </si>
  <si>
    <t>OP-05</t>
  </si>
  <si>
    <t>ข้อจำกัด FK ค่าที่ไม่ซ้ำ และคีย์หลักของฐานข้อมูล</t>
  </si>
  <si>
    <t>มีข้อจำกัดความสัมพันธ์ คีย์หลัก และค่าที่ไม่ซ้ำ</t>
  </si>
  <si>
    <t>[{"contype":"c","n":17},{"contype":"f","n":16},{"contype":"p","n":21},{"contype":"u","n":10}]</t>
  </si>
  <si>
    <t>OP-06</t>
  </si>
  <si>
    <t>ไฟล์รูปต้นฉบับที่อัปโหลด</t>
  </si>
  <si>
    <t>ไฟล์รูปในเครื่องที่ฐานข้อมูลอ้างอิงต้องมีอยู่ครบ</t>
  </si>
  <si>
    <t>{"referenced":12,"missing":0}</t>
  </si>
  <si>
    <t>QA-DATA-02</t>
  </si>
  <si>
    <t>OP-07</t>
  </si>
  <si>
    <t>ความพร้อมของกุญแจเข้ารหัส</t>
  </si>
  <si>
    <t>โหลดกุญแจที่มีขนาดถูกต้อง โดยไม่เปิดเผยไบต์ของกุญแจ</t>
  </si>
  <si>
    <t>{"keyValid":true}</t>
  </si>
  <si>
    <t>OP-08</t>
  </si>
  <si>
    <t>เรียก GET /health</t>
  </si>
  <si>
    <t>{"http":200}</t>
  </si>
  <si>
    <t>OP-09</t>
  </si>
  <si>
    <t>เรียก GET /api/me/profile โดยไม่ยืนยันตัวตน</t>
  </si>
  <si>
    <t>{"http":401}</t>
  </si>
  <si>
    <t>OP-10</t>
  </si>
  <si>
    <t>เรียก GET /api/admin/profile โดยไม่ยืนยันตัวตน</t>
  </si>
  <si>
    <t>OP-11</t>
  </si>
  <si>
    <t>เรียก GET /api/admin/manage/users โดยไม่ยืนยันตัวตน</t>
  </si>
  <si>
    <t>OP-12</t>
  </si>
  <si>
    <t>เรียก GET /matching/all โดยไม่ยืนยันตัวตน</t>
  </si>
  <si>
    <t>OP-13</t>
  </si>
  <si>
    <t>เรียก GET /assets/blocked.html</t>
  </si>
  <si>
    <t>ตอบ HTTP 404</t>
  </si>
  <si>
    <t>{"http":404}</t>
  </si>
  <si>
    <t>OP-14</t>
  </si>
  <si>
    <t>เรียก GET /api/privacy-policy</t>
  </si>
  <si>
    <t>OP-15</t>
  </si>
  <si>
    <t>ค่าตั้ง Google ที่เปิดเผยต่อหน้าเว็บ</t>
  </si>
  <si>
    <t>กำหนดโดเมน KU ตรงตามที่กำหนด โดยไม่แสดง Client ID</t>
  </si>
  <si>
    <t>{"http":200,"enabled":false,"hostedDomain":"ku.th"}</t>
  </si>
  <si>
    <t>OP-16</t>
  </si>
  <si>
    <t>ส่วนหัวความปลอดภัยของการตอบกลับ</t>
  </si>
  <si>
    <t>ไม่เปิดเผยเวอร์ชัน framework และมี nosniff, CSP กับการป้องกันแคช</t>
  </si>
  <si>
    <t>{"frameworkHidden":true,"nosniff":true,"csp":true,"noStore":true}</t>
  </si>
  <si>
    <t>OP-17</t>
  </si>
  <si>
    <t>ประสิทธิภาพการตรวจสุขภาพแบบจำกัดจำนวน</t>
  </si>
  <si>
    <t>คำขอในเครื่อง 20 ครั้งสำเร็จ โดยแต่ละครั้งอยู่ภายในเกณฑ์เบื้องต้นที่เผื่อไว้ 2 วินาที</t>
  </si>
  <si>
    <t>{"scope":"20 sequential local /health requests only","max_ms":19,"avg_ms":13}</t>
  </si>
  <si>
    <t>OP-18</t>
  </si>
  <si>
    <t>รักษาจำนวนข้อมูลต้นทาง</t>
  </si>
  <si>
    <t>ยอดข้อมูลก่อนและหลังต้องเท่ากัน</t>
  </si>
  <si>
    <t>{"unchanged":true}</t>
  </si>
  <si>
    <t>OP-19</t>
  </si>
  <si>
    <t>การจัดประเภทข้อผิดพลาดเมื่อปฏิเสธต้นทาง CORS</t>
  </si>
  <si>
    <t>ปฏิเสธต้นทางที่ไม่เชื่อถือด้วยข้อผิดพลาด 4xx ที่ควบคุมไว้ ไม่ใช่ข้อผิดพลาดเซิร์ฟเวอร์</t>
  </si>
  <si>
    <t>{"http":403}</t>
  </si>
  <si>
    <t>QA-API-01</t>
  </si>
  <si>
    <t>OP-20</t>
  </si>
  <si>
    <t>การจัดการ JSON ผิดรูปแบบ</t>
  </si>
  <si>
    <t>ตอบ HTTP 400 และบริการยังทำงานปกติ</t>
  </si>
  <si>
    <t>{"malformed":400,"health":200}</t>
  </si>
  <si>
    <t>OP-21</t>
  </si>
  <si>
    <t>ปฏิเสธคำขอ JSON ใหญ่เกินกำหนด</t>
  </si>
  <si>
    <t>ตอบ HTTP 413 ก่อนยืนยันตัวตนหรือเปลี่ยนข้อมูลฐาน</t>
  </si>
  <si>
    <t>{"http":413}</t>
  </si>
  <si>
    <t>PG-OP-01</t>
  </si>
  <si>
    <t>เริ่ม backend เต็มขั้นตอน ตรวจโครงสร้าง และเรียก /health ได้สำเร็จ</t>
  </si>
  <si>
    <t>เริ่มระบบเต็มขั้นตอนและความคงอยู่ของข้อมูลใน PostgreSQL จริง</t>
  </si>
  <si>
    <t>ใช้ PostgreSQL ชั่วคราวแยกต่างหาก ตั้ง NODE_ENV=test ปิดงานตามตารางและการส่งออกภายนอก</t>
  </si>
  <si>
    <t>เฉพาะผู้ดูแลสังเคราะห์และรายการ qa-persist</t>
  </si>
  <si>
    <t>รันบน PostgreSQL ฐานชั่วคราว: assertion ผ่านทั้งหมด</t>
  </si>
  <si>
    <t>PG-OP-02</t>
  </si>
  <si>
    <t>ผู้ดูแลสูงสุดเข้าใช้ด้วยข้อมูลถูกต้องได้ และปฏิเสธข้อมูลรับรองไม่ถูกต้อง</t>
  </si>
  <si>
    <t>PG-OP-03</t>
  </si>
  <si>
    <t>การเพิ่ม อ่าน แก้ไข และลบข้อมูลคงผลข้ามการเชื่อมต่อฐานคนละชุด</t>
  </si>
  <si>
    <t>QA-01</t>
  </si>
  <si>
    <t>ตรวจคุณภาพโค้ดด้วย lint</t>
  </si>
  <si>
    <t>คุณภาพโค้ด การสร้างเว็บ และ dependencies</t>
  </si>
  <si>
    <t>คง working tree เดิมและมีเครื่องมือกับ dependencies ที่จำเป็นในเครื่อง</t>
  </si>
  <si>
    <t>รันคำสั่งต่อไปนี้กับโค้ดและ dependencies ปัจจุบัน โดยไม่อัปเดตแพ็กเกจ: C:\WINDOWS\system32\cmd.exe /d /s /c npm run lint</t>
  </si>
  <si>
    <t>โค้ดและไฟล์ล็อก dependencies ปัจจุบัน ไม่อัปเดตแพ็กเกจ</t>
  </si>
  <si>
    <t>คำสั่งทำงานสำเร็จ</t>
  </si>
  <si>
    <t>exit 0</t>
  </si>
  <si>
    <t>lint.log</t>
  </si>
  <si>
    <t>QA-02</t>
  </si>
  <si>
    <t>สร้างเว็บสำหรับใช้งานจริง</t>
  </si>
  <si>
    <t>รันคำสั่งต่อไปนี้กับโค้ดและ dependencies ปัจจุบัน โดยไม่อัปเดตแพ็กเกจ: C:\Program Files\nodejs\node.exe node_modules/vite/bin/vite.js build</t>
  </si>
  <si>
    <t>build.log</t>
  </si>
  <si>
    <t>QA-03</t>
  </si>
  <si>
    <t>ตรวจความครบถ้วนของพจนานุกรม UI</t>
  </si>
  <si>
    <t>รันคำสั่งต่อไปนี้กับโค้ดและ dependencies ปัจจุบัน โดยไม่อัปเดตแพ็กเกจ: C:\Program Files\nodejs\node.exe tools/extract-ui-strings.mjs --check</t>
  </si>
  <si>
    <t>translations.log</t>
  </si>
  <si>
    <t>QA-04</t>
  </si>
  <si>
    <t>ตรวจช่องโหว่ dependencies ฝั่งหน้าเว็บ</t>
  </si>
  <si>
    <t>รันคำสั่งต่อไปนี้กับโค้ดและ dependencies ปัจจุบัน โดยไม่อัปเดตแพ็กเกจ: C:\WINDOWS\system32\cmd.exe /d /s /c npm audit --json</t>
  </si>
  <si>
    <t>ไม่พบช่องโหว่ dependencies ในรายงาน</t>
  </si>
  <si>
    <t>{"info": 0, "low": 0, "moderate": 0, "high": 0, "critical": 0, "total": 0}</t>
  </si>
  <si>
    <t>QA-SEC-01</t>
  </si>
  <si>
    <t>audit-web.log</t>
  </si>
  <si>
    <t>QA-05</t>
  </si>
  <si>
    <t>ตรวจช่องโหว่ dependencies ฝั่งหลังบ้าน</t>
  </si>
  <si>
    <t>รันคำสั่งต่อไปนี้กับโค้ดและ dependencies ปัจจุบัน โดยไม่อัปเดตแพ็กเกจ: C:\WINDOWS\system32\cmd.exe /d /s /c npm --prefix backend audit --json</t>
  </si>
  <si>
    <t>audit-api.log</t>
  </si>
  <si>
    <t>EXT-01</t>
  </si>
  <si>
    <t>เข้าใช้ด้วยบัญชี Google ของ KU จริง</t>
  </si>
  <si>
    <t>การตรวจรับภายนอกและการตรวจด้วยผู้ทดสอบ</t>
  </si>
  <si>
    <t>ยังไม่มีบัญชีหรือเซสชัน Google ของบุคคลที่ได้รับอนุญาต ชุดทดสอบตัวตรวจและหน้าเว็บใช้ตัวทดแทนที่ระบุชัดเจน</t>
  </si>
  <si>
    <t>จัดเตรียมเงื่อนไขที่ยังขาด แล้วดำเนินการตรวจรับเฉพาะหัวข้อนี้</t>
  </si>
  <si>
    <t>ยังไม่ใช้ข้อมูลทดสอบ</t>
  </si>
  <si>
    <t>ยังไม่มีบัญชี Google KU จริงที่ได้รับอนุญาตให้ทดสอบ (Google login ยังไม่ได้ตั้งค่าในเครื่องนี้: enabled=false)</t>
  </si>
  <si>
    <t>TEST_PLAN.md</t>
  </si>
  <si>
    <t>EXT-02</t>
  </si>
  <si>
    <t>ส่งอีเมล SMTP หรือ push ไปยังผู้รับจริง</t>
  </si>
  <si>
    <t>ยังไม่มีผู้รับจริงที่อนุมัติหรือผลยืนยันจากผู้ให้บริการ และไม่ได้ส่งข้อความจริง</t>
  </si>
  <si>
    <t>ยังไม่มีผู้รับจริง/ผู้ให้บริการที่อนุมัติให้ส่ง ไม่ได้ส่งอีเมลจริง</t>
  </si>
  <si>
    <t>EXT-03</t>
  </si>
  <si>
    <t>TLS และความพร้อมเปิดระบบใช้งานจริง</t>
  </si>
  <si>
    <t>ยังไม่เลือก deployment หรือใบรับรองของระบบจริง และยังไม่ได้ตั้งค่ายืนยันการอนุมัติความเป็นส่วนตัวในสภาพแวดล้อมที่ตรวจ</t>
  </si>
  <si>
    <t>ยังไม่มีเครื่อง production/ใบรับรองจริง และยังไม่ตั้งผู้ควบคุมข้อมูล/อนุมัติประกาศความเป็นส่วนตัว</t>
  </si>
  <si>
    <t>EXT-04</t>
  </si>
  <si>
    <t>ประเมิน precision/recall ของ AI ด้วยชุดข้อมูล KU ที่มีป้ายกำกับ</t>
  </si>
  <si>
    <t>ไม่มีชุดข้อมูลแยกประเมินที่มีป้ายกำกับหรือแคชโมเดลสำหรับวิเคราะห์จริงในโค้ดชุดนี้ ผลตรรกะกับข้อมูลสังเคราะห์ไม่ใช่หลักฐานความแม่นยำ</t>
  </si>
  <si>
    <t>ไม่มีชุดข้อมูล KU ที่ติดป้ายกำกับและ model cache สำหรับ inference จริง</t>
  </si>
  <si>
    <t>EXT-05</t>
  </si>
  <si>
    <t>ทดสอบโหลดครบกระบวนการ 500 ผู้ใช้และทดสอบต่อเนื่องบน deployment</t>
  </si>
  <si>
    <t>วัดเพียงคำขอ /health ที่อ่านฐานในเครื่อง 20 ครั้ง ยังไม่ได้ตกลงสภาพแวดล้อมหรือสิทธิ์ทดสอบโหลดระบบใช้งานจริง</t>
  </si>
  <si>
    <t>ไม่มีสภาพแวดล้อม deployment และสิทธิ์ทดสอบโหลด 500 ผู้ใช้</t>
  </si>
  <si>
    <t>EXT-06</t>
  </si>
  <si>
    <t>ความพร้อมใช้ 99% ตลอดเดือนปฏิทินตามเวลาไทย</t>
  </si>
  <si>
    <t>ต้องมีช่วงข้อมูลตรวจติดตามจากภายนอกครบ ไม่สามารถอนุมาน uptime ทั้งเดือนจากการตรวจ ณ เวลาเดียว</t>
  </si>
  <si>
    <t>ต้องเก็บ probe ภายนอกครบหนึ่งเดือนปฏิทิน</t>
  </si>
  <si>
    <t>EXT-07</t>
  </si>
  <si>
    <t>ตรวจด้วยโปรแกรมอ่านหน้าจอและการซูมทุกสถานะด้วยผู้ทดสอบ</t>
  </si>
  <si>
    <t>รันการตรวจ AA อัตโนมัติและแป้นพิมพ์แล้ว แต่ยังไม่ได้ตรวจเฉพาะทางด้วยเทคโนโลยีช่วยการเข้าถึง</t>
  </si>
  <si>
    <t>ยังไม่มีผู้ทดสอบด้วยโปรแกรมอ่านหน้าจอ (ตรวจอัตโนมัติ axe + keyboard ผ่านใน WEB-001..003)</t>
  </si>
  <si>
    <t>EXT-08</t>
  </si>
  <si>
    <t>เทียบ Figma แบบตรงระดับพิกเซลทุกหน้าและทุกสถานะ</t>
  </si>
  <si>
    <t>รอบ QA นี้ไม่มีข้อมูลแบบ Figma หรือการจับคู่ภาพอ้างอิงที่ตรวจใหม่ ภาพหน้าจอและการตรวจตามขนาดจอไม่ยืนยันความตรงทุกจุด</t>
  </si>
  <si>
    <t>ไม่มีการอ้างอิง Figma ที่ยืนยันแล้วสำหรับทุกหน้า/สถานะ</t>
  </si>
  <si>
    <t>รหัส</t>
  </si>
  <si>
    <t>หัวข้อในคู่มือ</t>
  </si>
  <si>
    <t>เรื่อง</t>
  </si>
  <si>
    <t>ขั้นตอนที่ทำ</t>
  </si>
  <si>
    <t>สิ่งที่คู่มือบอก (ผลที่คาดหวัง)</t>
  </si>
  <si>
    <t>ผลจริงบนหน้าจอ</t>
  </si>
  <si>
    <t>สถานะ</t>
  </si>
  <si>
    <t>คู่มือตรงกับระบบ?</t>
  </si>
  <si>
    <t>ภาพหลักฐาน (output/manual-test-evidence/user-manual)</t>
  </si>
  <si>
    <t>UM-01</t>
  </si>
  <si>
    <t>ข้อ 1</t>
  </si>
  <si>
    <t>หน้าเริ่มต้นและหน้า login</t>
  </si>
  <si>
    <t>เปิด /login</t>
  </si>
  <si>
    <t>ไม่มี navbar บนหน้าเริ่มต้นและ login มีตัวเลือก “เข้าใช้ครั้งแรก / ยังไม่มีรหัสผ่าน”</t>
  </si>
  <si>
    <t>/login ไม่มี navbar (มีแค่ปุ่ม “ลงชื่อเข้าใช้” และ “เข้าสู่ระบบ”) /signin ไม่มี navbar เช่นกัน ปุ่มเข้าใช้ครั้งแรกบนหน้าจอชื่อ “ลงชื่อเข้าใช้” ไม่ใช่ “เข้าใช้ครั้งแรก / ยังไม่มีรหัสผ่าน”</t>
  </si>
  <si>
    <t>ไม่ตรง: ชื่อปุ่มในคู่มือต่างจากหน้าจอ</t>
  </si>
  <si>
    <t>UM-01-login.png, UM-01-signin.png</t>
  </si>
  <si>
    <t>UM-02</t>
  </si>
  <si>
    <t>ข้อ 1–2</t>
  </si>
  <si>
    <t>เข้าใช้ครั้งแรกด้วย OTP และตั้งรหัสผ่าน</t>
  </si>
  <si>
    <t>กด ลงชื่อเข้าใช้ → กรอกอีเมล @ku.th → ส่ง OTP → กรอก OTP → ตั้งรหัสผ่าน → รับทราบประกาศ</t>
  </si>
  <si>
    <t>ยืนยัน OTP แล้วตั้งรหัสผ่าน 15–128 ตัว กรอกรหัสนิสิต/ผู้ใช้ ชื่อ นามสกุล และอ่านประกาศความเป็นส่วนตัวก่อนรับทราบ</t>
  </si>
  <si>
    <t>OTP ส่งและยืนยันได้ หน้าตั้งรหัสผ่านมีเฉพาะ รหัสผ่าน / ยืนยันรหัสผ่าน / รับทราบประกาศ (มีลิงก์ประกาศ) ไม่มีช่องรหัสนิสิต ชื่อ นามสกุล ระบบใช้ข้อมูลจากทะเบียนแทน (ตาม README) บันทึกแล้วเข้า /foundPage</t>
  </si>
  <si>
    <t>ไม่ตรง: คู่มือบอกให้กรอกรหัสนิสิต ชื่อ นามสกุล แต่หน้าจอไม่มีช่องเหล่านี้ (ตั้งใจออกแบบให้ใช้ข้อมูลทะเบียน)</t>
  </si>
  <si>
    <t>UM-02-create-password.png</t>
  </si>
  <si>
    <t>UM-03</t>
  </si>
  <si>
    <t>ข้อ 2</t>
  </si>
  <si>
    <t>เข้าใช้ครั้งต่อไปและลืมรหัสผ่าน</t>
  </si>
  <si>
    <t>ออกจากระบบ → /signin → กรอกอีเมลและรหัสผ่าน</t>
  </si>
  <si>
    <t>เข้าใช้ด้วยอีเมลและรหัสผ่าน ถ้าลืมใช้ “ลืมรหัสผ่าน”</t>
  </si>
  <si>
    <t>เข้าสู่ระบบด้วยอีเมล + รหัสผ่านสำเร็จ ไปที่ /foundPage มีลิงก์ “ลืมรหัสผ่าน” (flow ลืมรหัสผ่านผ่านใน WEB otp-flow)</t>
  </si>
  <si>
    <t>ตรง</t>
  </si>
  <si>
    <t>-</t>
  </si>
  <si>
    <t>UM-04</t>
  </si>
  <si>
    <t>ข้อ 3</t>
  </si>
  <si>
    <t>แจ้งของหาย/แจ้งพบ</t>
  </si>
  <si>
    <t>เปิด /lostItem และ /foundItem ตรวจช่องข้อมูล</t>
  </si>
  <si>
    <t>ระบุประเภท วันที่ สถานที่ รายละเอียด (ยี่ห้อ รุ่น ตำหนิ) แนบ JPG/PNG/WebP เลือกสีจากสีแนะนำหรือตารางสี แยกลักษณะเฉพาะไว้ช่องข้อมูลยืนยัน</t>
  </si>
  <si>
    <t>ฟอร์มมี รูป (accept JPG/PNG/WebP ≤5 MB), สีสิ่งของ + “เลือกจากตารางสี”, วันที่, ชื่อ, หมวดหมู่, สถานที่ + แผนที่, รายละเอียดเพิ่มเติม, ช่อง “ตำหนิ/ลักษณะเฉพาะ (เห็นเฉพาะเจ้าหน้าที่)” แยกต่างหาก ฟอร์มแจ้งพบมีเลือกจุดรับฝาก ไม่มีช่องยี่ห้อ/รุ่น/เวลาแยก (ใส่ในรายละเอียดได้)</t>
  </si>
  <si>
    <t>ตรงบางส่วน: ส่วนภาษาอังกฤษพูดถึง date/time และ brand/model เหมือนเป็นช่องแยก แต่ฟอร์มไม่มีช่องเวลา ยี่ห้อ รุ่น</t>
  </si>
  <si>
    <t>UM-04-lostItem.png, UM-04-foundItem.png</t>
  </si>
  <si>
    <t>UM-05</t>
  </si>
  <si>
    <t>หลังส่งมอบคืนแล้ว</t>
  </si>
  <si>
    <t>เจ้าของยื่นคำขอ → เจ้าหน้าที่อนุมัติ → ยืนยันส่งมอบ → ตรวจหน้ารายการ ประวัติ และประวัติการคืนของเจ้าหน้าที่</t>
  </si>
  <si>
    <t>รายการของหายและของพบหายจากหน้ารายการโพสต์ เจ้าของยังดูได้ในประวัติ เจ้าหน้าที่ยังตรวจประวัติการคืนได้</t>
  </si>
  <si>
    <t>หลังส่งมอบ: ไม่แสดงในหน้ารายการของหาย/ของพบ, หน้าประวัติของเจ้าของแสดง “สถานะ: คืนแล้ว”, หน้า /staff/returns-history ของเจ้าหน้าที่แสดงรายการ</t>
  </si>
  <si>
    <t>UM-05-tracking-*.png, UM-05-history.png, UM-05-staff-returns-history.png</t>
  </si>
  <si>
    <t>UM-06</t>
  </si>
  <si>
    <t>ข้อ 4</t>
  </si>
  <si>
    <t>หน้ารายการ ค้นหา กรอง เปลี่ยนหน้า</t>
  </si>
  <si>
    <t>เปิด /lostPage และ /foundPage กดตัวกรอง ก่อนหน้า/ถัดไป เปิดรายละเอียด</t>
  </si>
  <si>
    <t>กด “รายการของหาย” / “รายการของพบ” เพื่อเปลี่ยนหน้า กรองและค้นหาแล้วใช้ปุ่มก่อนหน้า/ถัดไป หากเห็น “รายละเอียดถูกปกปิด” เป็นการป้องกันการแอบอ้าง</t>
  </si>
  <si>
    <t>มีตัวกรองด่วน (ทั้งหมด กระเป๋า กุญแจ …) ปุ่ม ‹ ก่อนหน้า / ถัดไป › และตัวบอกหน้า ลิงก์เปลี่ยนหน้าชื่อ “รายการของที่พบล่าสุด / รายการของที่หายล่าสุด” หน้ารายละเอียดแสดง “ปกปิดข้อมูลผู้แจ้ง” ไม่ใช่ “รายละเอียดถูกปกปิด”</t>
  </si>
  <si>
    <t>ไม่ตรง: ชื่อปุ่มเปลี่ยนหน้าและข้อความปกปิดต่างจากคู่มือ</t>
  </si>
  <si>
    <t>UM-06-*.png</t>
  </si>
  <si>
    <t>UM-07</t>
  </si>
  <si>
    <t>ข้อ 5</t>
  </si>
  <si>
    <t>หน้าแจ้งเตือน</t>
  </si>
  <si>
    <t>เปิด /notifications</t>
  </si>
  <si>
    <t>แสดงคู่ที่อาจตรงกันและการแจ้งเตือนจากระบบ เปิดรายการจากปุ่มข้างรีเฟรช คะแนนเป็นเพียงความคล้าย</t>
  </si>
  <si>
    <t>แสดง “พบคู่สิ่งของใหม่” พร้อมปุ่ม “ดูคู่ที่ตรงกัน” มีปุ่ม “รีเฟรชผลจับคู่” “อ่านทั้งหมด” “อ่านแล้ว”</t>
  </si>
  <si>
    <t>UM-07-notifications.png</t>
  </si>
  <si>
    <t>UM-08</t>
  </si>
  <si>
    <t>Claim โดยไม่ลงประกาศของหาย + ติดตาม</t>
  </si>
  <si>
    <t>ผู้ใช้ใหม่ (ไม่มีประกาศของหาย) เปิดของพบ → กดยืนยันความเป็นเจ้าของ → กรอกลักษณะเฉพาะ → ส่ง → เปิด “จุดรับฝากและการติดตาม”</t>
  </si>
  <si>
    <t>กด Claim ได้แม้ยังไม่ลงประกาศของหาย ระบุลักษณะเฉพาะ รอเจ้าหน้าที่ตรวจ หน้าติดตามแสดงวันเวลาที่ยื่นและสถานะ</t>
  </si>
  <si>
    <t>ฟอร์มแจ้ง “ยังไม่ได้ลงประกาศของหายก็ส่งคำขอได้” ส่งสำเร็จ “ส่งคำขอแล้ว เจ้าหน้าที่จะตรวจสอบหลักฐาน…” หน้าติดตามแสดง “คำขอ #1 — รอตรวจสอบ · คำขอโดยไม่ลงประกาศของหาย · ยื่นคำขอเมื่อ 25 ต.ค. 2569 17:42” และจุดรับคืน/เวลาเปิด ปุ่มบนหน้าจอชื่อ “ยืนยันความเป็นเจ้าของ”</t>
  </si>
  <si>
    <t>ตรงบางส่วน: ส่วนภาษาไทยเรียกปุ่มว่า “Claim” แต่หน้าจอใช้ “ยืนยันความเป็นเจ้าของ”</t>
  </si>
  <si>
    <t>UM-08-direct-claim.png, UM-08-tracking-pending.png</t>
  </si>
  <si>
    <t>UM-09</t>
  </si>
  <si>
    <t>สถานะ “ยืนยันเจ้าของแล้ว · รอส่งมอบ” และ “คืนแล้ว”</t>
  </si>
  <si>
    <t>เจ้าหน้าที่อนุมัติ แล้วยืนยันส่งมอบ ตรวจหน้าติดตามของเจ้าของ</t>
  </si>
  <si>
    <t>หลังอนุมัติ: “ยืนยันเจ้าของแล้ว · รอส่งมอบ” (ยังไม่ใช่คืนแล้ว) หลังส่งมอบจริง: “คืนแล้ว”</t>
  </si>
  <si>
    <t>หลังอนุมัติ: “คำขอ #2 — ยืนยันเจ้าของแล้ว · รอส่งมอบ” หลังส่งมอบ: “คำขอ #2 — รับคืนแล้ว · ส่งมอบคืนเมื่อ …” (หน้าประวัติแสดง “คืนแล้ว”)</t>
  </si>
  <si>
    <t>ตรงบางส่วน: หน้าติดตามใช้คำ “รับคืนแล้ว” ส่วนคู่มือใช้ “คืนแล้ว”</t>
  </si>
  <si>
    <t>UM-05-tracking-approved.png, UM-05-tracking-returned.png</t>
  </si>
  <si>
    <t>UM-10</t>
  </si>
  <si>
    <t>ข้อ 6</t>
  </si>
  <si>
    <t>เมนูโปรไฟล์</t>
  </si>
  <si>
    <t>เปิด /profile</t>
  </si>
  <si>
    <t>มี รายการของฉัน การติดตาม ความเป็นส่วนตัว และออกจากระบบ ไม่ซ้ำใน navbar</t>
  </si>
  <si>
    <t>หน้าโปรไฟล์มีครบ 4 เมนู navbar ด้านบนไม่มีเมนูเหล่านี้ซ้ำ</t>
  </si>
  <si>
    <t>UM-09-profile.png</t>
  </si>
  <si>
    <t>UM-11</t>
  </si>
  <si>
    <t>ข้อ 6–7</t>
  </si>
  <si>
    <t>รูปโปรไฟล์</t>
  </si>
  <si>
    <t>เลือกรูป → บันทึกโปรไฟล์ → โหลดหน้าใหม่</t>
  </si>
  <si>
    <t>รูปบันทึกไฟล์ใน backend/assets/profileUploads และเส้นทางใน users.profile_image แก้/ลบผ่านปุ่มในโปรไฟล์</t>
  </si>
  <si>
    <t>profile_image = /assets/profileUploads/&lt;uuid&gt;.png แสดงรูปหลังโหลดหน้าใหม่ มีปุ่มลบรูป</t>
  </si>
  <si>
    <t>UM-10-profile-photo.png</t>
  </si>
  <si>
    <t>UM-12</t>
  </si>
  <si>
    <t>ข้อ 7</t>
  </si>
  <si>
    <t>ข้อมูลตัวตนแก้เองไม่ได้ / ขอแก้ไขผ่าน Privacy</t>
  </si>
  <si>
    <t>ตรวจช่องชื่อ อีเมล รหัส → ไป Privacy เลือก “ขอแก้ไข” → ส่ง</t>
  </si>
  <si>
    <t>ชื่อ/นามสกุล อีเมล รหัสผู้ใช้ไม่ให้แก้เอง ยื่น “ขอแก้ไข” ในหน้า Privacy ให้แอดมินตรวจ</t>
  </si>
  <si>
    <t>ช่องชื่อ นามสกุล รหัส อีเมล เป็น disabled ส่งคำขอแก้ไขแล้วแสดง “บันทึกคำขอแล้ว ผู้ดูแลต้องตรวจสอบและตอบกลับ · #1 correction: pending”</t>
  </si>
  <si>
    <t>UM-11-privacy-request.png</t>
  </si>
  <si>
    <t>UM-13</t>
  </si>
  <si>
    <t>ข้อ 8</t>
  </si>
  <si>
    <t>Privacy: ดาวน์โหลดข้อมูลของตน / ยื่นคำขอ</t>
  </si>
  <si>
    <t>เปิด /privacy → ดาวน์โหลดข้อมูลของฉัน → ตรวจไฟล์ → ดูประเภทคำขอ</t>
  </si>
  <si>
    <t>ดาวน์โหลดสำเนา JSON เฉพาะข้อมูลของตน หรือยื่นคำขอเข้าถึง/แก้ไข/ลบ/ถอน การยื่นไม่ลบข้อมูลทันที</t>
  </si>
  <si>
    <t>ได้ไฟล์ my-personal-data.json มี profile, lost, found, claims, tickets, privacy_requests, notifications ไม่มีข้อมูลผู้ใช้อื่น ประเภทคำขอมี ขอเข้าถึง/ขอแก้ไข/ขอลบ/ถอนความยินยอม หน้าแสดง “ผู้ควบคุมข้อมูล/ช่องทางติดต่อ: ยังไม่ตั้งค่า”</t>
  </si>
  <si>
    <t>UM-12-privacy.png</t>
  </si>
  <si>
    <t>UM-14</t>
  </si>
  <si>
    <t>ข้อ 9</t>
  </si>
  <si>
    <t>ออกจากระบบต้องยืนยัน</t>
  </si>
  <si>
    <t>โปรไฟล์ → ออกจากระบบ → ยกเลิก</t>
  </si>
  <si>
    <t>มี ยืนยัน / ยกเลิก เลือกยืนยันเพิกถอน session</t>
  </si>
  <si>
    <t>dialog “ยืนยันการออกจากระบบ” มีปุ่ม “ยกเลิก” และ “ยืนยันออกจากระบบ” กดยกเลิกแล้วยังอยู่ /profile (การยืนยันเพิกถอน session ผ่านใน WEB auth.spec)</t>
  </si>
  <si>
    <t>UM-13-logout-dialog.png</t>
  </si>
  <si>
    <t>UM-15</t>
  </si>
  <si>
    <t>สำหรับแอดมิน</t>
  </si>
  <si>
    <t>เพิ่มจุดรับฝาก</t>
  </si>
  <si>
    <t>แอดมิน → System Settings → Collection Points → เพิ่มจุดฝาก → กรอก → บันทึก</t>
  </si>
  <si>
    <t>กด “เพิ่มจุดฝาก” แล้วเลือกหมุดหรือค้นหาสถานที่จากแผนที่เดียวกับหน้าแจ้งพบ ระบบเติมชื่อและพิกัดให้อัตโนมัติ หรือกรอกเองได้</t>
  </si>
  <si>
    <t>ฟอร์มมีเฉพาะช่อง ชื่อ Latitude Longitude เวลาเปิด ข้อมูลติดต่อ ความจุ เปิดใช้งาน ไม่มีแผนที่และช่องค้นหาสถานที่ (กรอกเองได้ บันทึกแล้วแสดงในตารางและผู้ใช้เห็นจุดใหม่)</t>
  </si>
  <si>
    <t>ไม่ตรง: คู่มือบอกว่าเลือกหมุด/ค้นหาจากแผนที่ได้ แต่ฟอร์มไม่มีแผนที่ (ต้องเลือกว่าจะเพิ่มแผนที่ หรือแก้คู่มือ)</t>
  </si>
  <si>
    <t>UM-14-add-point.png</t>
  </si>
  <si>
    <t>UM-16</t>
  </si>
  <si>
    <t>ภาษา</t>
  </si>
  <si>
    <t>ตำแหน่งปุ่มเปลี่ยนภาษา</t>
  </si>
  <si>
    <t>หาปุ่ม ไทย/English บน /login, /foundPage, /profile</t>
  </si>
  <si>
    <t>เปลี่ยน ไทย / English ที่มุมบนขวา</t>
  </si>
  <si>
    <t>ไม่มีปุ่มภาษาที่มุมบนขวาในหน้าใด ปุ่มอยู่ในหน้าโปรไฟล์ หัวข้อ “ภาษา” เท่านั้น (ตรงกับ WEB language-settings ที่ออกแบบให้อยู่ในหน้าตั้งค่า) เปลี่ยนแล้ว UI เป็นภาษาอังกฤษและจำค่าไว้</t>
  </si>
  <si>
    <t>ไม่ตรง: คู่มือบอกมุมบนขวา แต่ปุ่มอยู่ในหน้าโปรไฟล์</t>
  </si>
  <si>
    <t>UM-15-profile.png, UM-16-english-list.png</t>
  </si>
  <si>
    <t>UM-17</t>
  </si>
  <si>
    <t>สลับภาษาไม่ล้างค่าฟอร์ม และไม่แปลข้อมูลผู้ใช้</t>
  </si>
  <si>
    <t>กรอกชื่อสิ่งของในฟอร์มแจ้งหาย → ไปโปรไฟล์เปลี่ยนเป็น English → กลับมาที่ฟอร์ม → ดูหน้ารายการ</t>
  </si>
  <si>
    <t>กรอกฟอร์มแล้วสลับภาษาไม่ล้างค่า ชื่อบุคคลและข้อความที่เจ้าของกรอกไม่แปลอัตโนมัติ</t>
  </si>
  <si>
    <t>ข้อความที่ผู้ใช้กรอก (Black wallet) ไม่ถูกแปล UI เปลี่ยนเป็นภาษาอังกฤษ แต่เพราะปุ่มเปลี่ยนภาษาอยู่ในหน้าโปรไฟล์ ต้องออกจากฟอร์มก่อน ค่าในฟอร์มแจ้งหายหายไป (ชื่อสิ่งของกลับเป็นค่าว่าง)</t>
  </si>
  <si>
    <t>ไม่ตรง: ทำตามคู่มือแล้วค่าในฟอร์มหาย</t>
  </si>
  <si>
    <t>UM-16-english.png</t>
  </si>
  <si>
    <t>UM-18</t>
  </si>
  <si>
    <t>Troubleshooting</t>
  </si>
  <si>
    <t>401 / session หมดอายุ</t>
  </si>
  <si>
    <t>ใช้ token ที่ใช้ไม่ได้แล้วเปิด /profile</t>
  </si>
  <si>
    <t>เข้าสู่ระบบใหม่</t>
  </si>
  <si>
    <t>ถูกพากลับ /login พร้อมข้อความ “บัญชีถูกระงับหรือ session หมดอายุ กรุณาเข้าสู่ระบบใหม่”</t>
  </si>
  <si>
    <t>UM-17-expired.png</t>
  </si>
  <si>
    <t>UM-19</t>
  </si>
  <si>
    <t>OTP: 503 เมื่อบริการอีเมลยังไม่พร้อม</t>
  </si>
  <si>
    <t>503 หมายถึงบริการอีเมลยังไม่พร้อม</t>
  </si>
  <si>
    <t>ไม่ได้จำลองการปิดบริการอีเมลในรอบเดินตามคู่มือ (ชุด unit มีเฉพาะ Google login ตอบ 503 เมื่อปิด ไม่ใช่ OTP)</t>
  </si>
  <si>
    <t>ยังไม่ได้ตรวจ</t>
  </si>
  <si>
    <t>ขั้นที่</t>
  </si>
  <si>
    <t>สิ่งที่ TEST_PLAN กำหนด</t>
  </si>
  <si>
    <t>สิ่งที่ทำและผล</t>
  </si>
  <si>
    <t>1</t>
  </si>
  <si>
    <t>วิเคราะห์ routes, controllers, schema, env, startup, สถานะ Git โดยไม่แสดง secrets</t>
  </si>
  <si>
    <t>อ่าน routes/controllers/validation/schema; ตรวจเฉพาะการมีอยู่ของค่า env (ไม่แสดงค่า); Git branch docs/manual-test-cases มีไฟล์ที่ยังไม่ commit เดิมของผู้ใช้และงานรอบก่อน</t>
  </si>
  <si>
    <t>ทำแล้ว</t>
  </si>
  <si>
    <t>2</t>
  </si>
  <si>
    <t>รัน Node unit/integration ทุกไฟล์ test/*.test.cjs บน PGlite แยก</t>
  </si>
  <si>
    <t>304 tests: ผ่าน 298, ไม่ผ่าน 0, ข้าม 2 (symlink บน Windows, smoke โมเดล DINOv2 แบบเลือกเปิด), TODO 4 (บั๊กที่บันทึกไว้)</t>
  </si>
  <si>
    <t>3</t>
  </si>
  <si>
    <t>รัน Playwright ทุก spec ผ่าน Edge ตาม config จริง</t>
  </si>
  <si>
    <t>179 tests ตามสถิติผ่านทั้งหมด แต่ 2 ใน 179 เป็นกรณีที่ทำเครื่องหมาย “คาดว่าล้มเหลว” (บั๊ก BUG-04, BUG-05 ยังอยู่)</t>
  </si>
  <si>
    <t>4</t>
  </si>
  <si>
    <t>อ่านยอด/ความสัมพันธ์/constraints/รูปของฐาน local จริงแบบไม่เขียน</t>
  </si>
  <si>
    <t>data-quality (READ ONLY) + OP-01..21: session ฐานข้อมูลบังคับ read-only ยอดก่อน/หลังเท่ากัน พบประกาศไม่มีผู้แจ้ง 12 รายการ และไม่มีเจ้าหน้าที่/ผู้ดูแลที่เปิดใช้</t>
  </si>
  <si>
    <t>5</t>
  </si>
  <si>
    <t>ทดสอบ startup/API/persistence ด้วย PostgreSQL ชั่วคราวแยก</t>
  </si>
  <si>
    <t>153 tests ผ่านทั้งหมด สร้างฐาน foundlost_test_&lt;random&gt; 4 ฐานและลบหลังจบ ยอดฐานจริงก่อน/หลังไม่เปลี่ยน (เครื่องมือ auto-test แสดง BLOCKED เพราะอ่านผลแบบ TAP ไม่ได้ ไม่ใช่ติดข้อจำกัดจริง)</t>
  </si>
  <si>
    <t>6</t>
  </si>
  <si>
    <t>วัด performance เบื้องต้นแบบ bounded ในฐานแยก</t>
  </si>
  <si>
    <t>OP-17: /health 20 ครั้ง สูงสุด 19 ms เฉลี่ย 13 ms (ไม่ใช่ load test) ไม่ได้รัน test/performance.cjs เพราะใช้ backend/.env ซึ่งชี้ฐานจริง</t>
  </si>
  <si>
    <t>ทำบางส่วน</t>
  </si>
  <si>
    <t>7</t>
  </si>
  <si>
    <t>รวมผลราย test case พร้อมหลักฐาน ไม่ข้ามกรณีล้มเหลว</t>
  </si>
  <si>
    <t>ชีต Test Cases (เอกสาร) ครบ 436 กรณี + ชีต User Manual + ชีตผลที่ไม่อยู่ในเอกสาร</t>
  </si>
  <si>
    <t>ความปลอดภัย</t>
  </si>
  <si>
    <t>ไม่เปิดเผยรหัสผ่าน/token/ข้อมูลจริง ไม่ส่งอีเมลจริง ไม่รัน migration กับฐานจริง</t>
  </si>
  <si>
    <t>ปฏิบัติตามทั้งหมด: ใช้บัญชีสังเคราะห์ ดักอีเมลไว้ ไม่เขียนฐานจริง</t>
  </si>
  <si>
    <t>ชุดทดสอบ</t>
  </si>
  <si>
    <t>ชื่อ test</t>
  </si>
  <si>
    <t>หมายเหตุ</t>
  </si>
  <si>
    <t>Playwright/Edge</t>
  </si>
  <si>
    <t>item detail text meets WCAG AA colour contrast</t>
  </si>
  <si>
    <t>BUG-05: สีตัวอักษรหน้ารายละเอียดต่ำกว่า 4.5:1</t>
  </si>
  <si>
    <t>unknown URLs show a not-found page with a way back</t>
  </si>
  <si>
    <t>BUG-04: ไม่มี route สำหรับ URL ที่ไม่รู้จัก หน้าเว็บว่าง</t>
  </si>
  <si>
    <t>Node unit/integration (PGlite)</t>
  </si>
  <si>
    <t>API-DETAIL-01 item detail validates the id, requires login and returns 404 for unknown ids</t>
  </si>
  <si>
    <t>API-DETAIL-02 only the owner sees coordinates; nobody receives private details or student id</t>
  </si>
  <si>
    <t>API-HIST-01 history requires login and lists only the caller's own reports</t>
  </si>
  <si>
    <t>API-HIST-02 the owner's history shows their own private details decrypted; others never see them</t>
  </si>
  <si>
    <t>API-ITEM-01 creating a report requires a signed-in session</t>
  </si>
  <si>
    <t>API-ITEM-02 valid lost and found reports with a photo return 201 and keep the photo</t>
  </si>
  <si>
    <t>API-ITEM-03 invalid report fields are rejected with 400 and the uploaded photo is removed</t>
  </si>
  <si>
    <t>API-ITEM-04 boundary values are accepted (255-char name, leap day, 23:59, geographic extremes)</t>
  </si>
  <si>
    <t>API-ITEM-05 found reports require an active collection point</t>
  </si>
  <si>
    <t>API-ITEM-06 unsupported or spoofed images are rejected with 400</t>
  </si>
  <si>
    <t>API-ITEM-07 photos larger than 5 MB are rejected with 400</t>
  </si>
  <si>
    <t>API-ITEM-10 a lost/found date in the future is rejected</t>
  </si>
  <si>
    <t>API-LIST-01 public listing works anonymously and as array without paging</t>
  </si>
  <si>
    <t>API-LIST-02 paging clamps pageSize to 50 and invalid page to 1</t>
  </si>
  <si>
    <t>API-LIST-03 invalid date filters return 400</t>
  </si>
  <si>
    <t>API-LIST-04 an invalid bearer token on the public listing is rejected rather than ignored</t>
  </si>
  <si>
    <t>API-LIST-05 returned items are hidden and search/category filters narrow results</t>
  </si>
  <si>
    <t>API-MATCH-01 match lookup validates type/id and enforces ownership</t>
  </si>
  <si>
    <t>API-SESSION-01 profile, own-email lookup and logout behave per user</t>
  </si>
  <si>
    <t>API-SESSION-02 expired sessions and deactivated accounts are rejected</t>
  </si>
  <si>
    <t>API-SYS-01 user registry endpoint is Super Admin only</t>
  </si>
  <si>
    <t>API-SYS-02 health, privacy policy, root and unknown routes</t>
  </si>
  <si>
    <t>API-SYS-03 malformed or oversized JSON bodies get JSON client errors</t>
  </si>
  <si>
    <t>AUTH-01 send-otp rejects non-KU, malformed, non-string and over-long emails with 400</t>
  </si>
  <si>
    <t>AUTH-02 send-otp: unknown 403, inactive 403, registered first-use 409, eligible 200</t>
  </si>
  <si>
    <t>AUTH-03 a second OTP within the 60 second cooldown returns 429</t>
  </si>
  <si>
    <t>AUTH-04 verify-otp rejects badly formatted codes before checking the database</t>
  </si>
  <si>
    <t>AUTH-05 verify-otp: wrong code 400, right code returns a one-use setup token</t>
  </si>
  <si>
    <t>AUTH-06 login gives the same 401 message for wrong password, unknown and inactive accounts</t>
  </si>
  <si>
    <t>AUTH-07 login input validation and case-insensitive email</t>
  </si>
  <si>
    <t>AUTH-08 staff can sign in with username; student id cannot be used as a username</t>
  </si>
  <si>
    <t>AUTH-09 reset purpose works for a registered account and revokes old sessions</t>
  </si>
  <si>
    <t>AUTH-10 Google config hides client id while disabled; Google login answers 503 (feature off)</t>
  </si>
  <si>
    <t>AUTH-11 admin login: wrong/missing credentials 401, correct 200 with session usable on admin API</t>
  </si>
  <si>
    <t>AUTH-12 a deactivated admin account cannot sign in or keep using its session</t>
  </si>
  <si>
    <t>AUTH-13 a student session cannot reach admin endpoints</t>
  </si>
  <si>
    <t>CRUD persists across independently acquired database clients</t>
  </si>
  <si>
    <t>SVC-01 every /api/me service requires a session</t>
  </si>
  <si>
    <t>SVC-02 collection points list only active points, sorted by name, without capacity</t>
  </si>
  <si>
    <t>SVC-03 claim input validation: ids and answer</t>
  </si>
  <si>
    <t>SVC-04 a finder cannot claim their own found item; a claimant cannot use someone else's lost report</t>
  </si>
  <si>
    <t>SVC-05 ticket validation: issue type whitelist, required subject/details, length limits</t>
  </si>
  <si>
    <t>SVC-06 privacy requests: type whitelist, details required, list shows only own</t>
  </si>
  <si>
    <t>SVC-07 personal-data export is a download of the caller's own data only</t>
  </si>
  <si>
    <t>SVC-08 notifications: invalid id 400, someone else's 404, own 200 and becomes read</t>
  </si>
  <si>
    <t>a first-use OTP or grant cannot set a password if Google activated the account meanwhile</t>
  </si>
  <si>
    <t>administrator login still rate-limits repeated attempts and returns localized JSON 429</t>
  </si>
  <si>
    <t>an automatic match queues one email to each report owner without revealing the other party</t>
  </si>
  <si>
    <t>an unfinished first-use account can resend after cooldown and verify its current OTP</t>
  </si>
  <si>
    <t>auto-test distinguishes passed checks with skips from a complete pass</t>
  </si>
  <si>
    <t>auto-test never hides a failure behind successful or blocked stages</t>
  </si>
  <si>
    <t>auto-test parses actual TAP totals without converting skipped cases into passes</t>
  </si>
  <si>
    <t>denied CORS returns controlled JSON 403 without granting access</t>
  </si>
  <si>
    <t>full backend startup checks schema and serves a healthy API</t>
  </si>
  <si>
    <t>registered password and Google accounts cannot request first-use OTP, but password recovery remains available</t>
  </si>
  <si>
    <t>removing or disabling a roster account between OTP steps prevents activation</t>
  </si>
  <si>
    <t>role/API permissions and complete Staff handover</t>
  </si>
  <si>
    <t>startup configured Super Admin accepts valid credentials and rejects invalid ones</t>
  </si>
  <si>
    <t>student and staff activation/reset retain registry identity and permissions even with forged client roles</t>
  </si>
  <si>
    <t>unlisted and inactive emails cannot request setup/reset OTP or create accounts through legacy grants</t>
  </si>
  <si>
    <t>Google-only registered email also uses sign-in rather than first-use OTP</t>
  </si>
  <si>
    <t>a student cannot open the staff console</t>
  </si>
  <si>
    <t>admin-dashboard matches baseline</t>
  </si>
  <si>
    <t>admin-login matches baseline</t>
  </si>
  <si>
    <t>an expired/revoked session is cleared and the user is returned to /login</t>
  </si>
  <si>
    <t>empty sign-in shows field validation without calling the API</t>
  </si>
  <si>
    <t>first-use staff activation retains the stored staff role and routes to staff console</t>
  </si>
  <si>
    <t>found-form matches baseline</t>
  </si>
  <si>
    <t>found-list matches baseline</t>
  </si>
  <si>
    <t>going back during auto-verification ignores the late response</t>
  </si>
  <si>
    <t>history matches baseline</t>
  </si>
  <si>
    <t>invalid OTP does not auto-loop; manual retry and editing the code remain possible</t>
  </si>
  <si>
    <t>item detail shows a not-found message for an unknown id</t>
  </si>
  <si>
    <t>listing shows an empty state for a search with no results</t>
  </si>
  <si>
    <t>listing shows an error with retry when the API fails, and recovers</t>
  </si>
  <si>
    <t>lost-form matches baseline</t>
  </si>
  <si>
    <t>lost-list matches baseline</t>
  </si>
  <si>
    <t>opening an item card navigates to its detail page and back</t>
  </si>
  <si>
    <t>owner history shows the hidden identifying features they entered</t>
  </si>
  <si>
    <t>privacy matches baseline</t>
  </si>
  <si>
    <t>profile matches baseline</t>
  </si>
  <si>
    <t>registered email shows a notice and returns to sign-in; forgot-password OTP still works</t>
  </si>
  <si>
    <t>screens not covered by the existing audit pass axe WCAG 2.1 AA</t>
  </si>
  <si>
    <t>signed-out visitors are redirected from protected pages to /login with a message</t>
  </si>
  <si>
    <t>signed-out visitors are sent from admin and staff consoles to their login pages</t>
  </si>
  <si>
    <t>signin matches baseline</t>
  </si>
  <si>
    <t>six pasted digits auto-verify exactly once while the verify button remains available</t>
  </si>
  <si>
    <t>unlisted KU emails cannot enter first-use or recovery at 1440px</t>
  </si>
  <si>
    <t>unlisted KU emails cannot enter first-use or recovery at 390px</t>
  </si>
  <si>
    <t>welcome matches baseline</t>
  </si>
  <si>
    <t>wrong password shows an error and stays on the sign-in page</t>
  </si>
  <si>
    <t>PostgreSQL ฐานชั่วคราว</t>
  </si>
  <si>
    <t>หมวด</t>
  </si>
  <si>
    <t>อ้างอิง</t>
  </si>
  <si>
    <t>สิ่งที่พบ</t>
  </si>
  <si>
    <t>ระดับ</t>
  </si>
  <si>
    <t>สิ่งที่ควรทำ</t>
  </si>
  <si>
    <t>ข้อมูลจริง</t>
  </si>
  <si>
    <t>OP-03 / DATA-OWNERS</t>
  </si>
  <si>
    <t>ประกาศของหาย 7 และของพบ 5 รายการในฐานจริงไม่มีผู้แจ้ง (student_id ว่าง)</t>
  </si>
  <si>
    <t>สูง</t>
  </si>
  <si>
    <t>ต้องหา mapping ผู้แจ้งที่ยืนยันได้ ห้ามสุ่มผูกบัญชี</t>
  </si>
  <si>
    <t>ฐานจริงมีเฉพาะนิสิต 59 บัญชี ไม่มีเจ้าหน้าที่ที่เปิดใช้งานและไม่มีผู้ดูแล (admin) ที่เปิดใช้งาน และไม่มีจุดรับฝาก (0)</t>
  </si>
  <si>
    <t>สร้าง/เปิดใช้บัญชีเจ้าหน้าที่และผู้ดูแล และเพิ่มจุดรับฝากก่อนใช้งานจริง</t>
  </si>
  <si>
    <t>คู่มือ</t>
  </si>
  <si>
    <t>คู่มือบอกว่าเพิ่มจุดฝากโดยเลือกหมุด/ค้นหาจากแผนที่ได้ แต่ฟอร์มไม่มีแผนที่</t>
  </si>
  <si>
    <t>กลาง</t>
  </si>
  <si>
    <t>เพิ่มแผนที่ในฟอร์ม หรือแก้คู่มือ</t>
  </si>
  <si>
    <t>ทำตามคู่มือ (สลับภาษา) แล้วค่าในฟอร์มแจ้งหายหาย เพราะปุ่มภาษาอยู่ในหน้าโปรไฟล์</t>
  </si>
  <si>
    <t>เพิ่มปุ่มภาษาในหน้าฟอร์ม/เก็บร่าง หรือแก้คู่มือ</t>
  </si>
  <si>
    <t>UM-01, 02, 06, 08, 09, 16</t>
  </si>
  <si>
    <t>ชื่อปุ่ม/ข้อความในคู่มือไม่ตรงหน้าจอ และคู่มือบอกให้กรอกรหัสนิสิต ชื่อ นามสกุลตอนสมัคร ซึ่งหน้าจอไม่มี</t>
  </si>
  <si>
    <t>ต่ำ</t>
  </si>
  <si>
    <t>อัปเดต USER_MANUAL.md ให้ตรงหน้าจอปัจจุบัน</t>
  </si>
  <si>
    <t>บั๊กเดิม</t>
  </si>
  <si>
    <t>BUG-01</t>
  </si>
  <si>
    <t>ส่งรูปผิดชื่อฟิลด์หรือหลายรูปได้ HTTP 500 แทน 4xx (TODO ใน qa-items-api)</t>
  </si>
  <si>
    <t>แปลง error ของ multer เป็น 400</t>
  </si>
  <si>
    <t>BUG-03</t>
  </si>
  <si>
    <t>อักขระ % และ _ ในช่องค้นหาไม่ถูก escape</t>
  </si>
  <si>
    <t>escape ก่อนใช้ใน ILIKE</t>
  </si>
  <si>
    <t>BUG-04</t>
  </si>
  <si>
    <t>URL ที่ไม่รู้จักแสดงหน้าเว็บว่าง</t>
  </si>
  <si>
    <t>เพิ่ม route * พร้อมลิงก์กลับ</t>
  </si>
  <si>
    <t>BUG-05</t>
  </si>
  <si>
    <t>สีตัวอักษรหน้ารายละเอียดสิ่งของต่ำกว่าเกณฑ์ WCAG AA</t>
  </si>
  <si>
    <t>ปรับสีใน ItemDetail.css</t>
  </si>
  <si>
    <t>PDPA</t>
  </si>
  <si>
    <t>EXT-03 / ประกาศ</t>
  </si>
  <si>
    <t>ยังไม่ตั้งชื่อ/อีเมลผู้ควบคุมข้อมูล และยังไม่อนุมัติประกาศความเป็นส่วนตัว</t>
  </si>
  <si>
    <t>ให้ผู้มีอำนาจกำหนดและอนุมัติ</t>
  </si>
  <si>
    <t>เครื่องมือทดสอบ</t>
  </si>
  <si>
    <t>auto-test postgres</t>
  </si>
  <si>
    <t>tools/auto-test.cjs รายงาน postgres เป็น BLOCKED ทั้งที่รันผ่าน 153/153 เพราะอ่านผลแบบ TAP แต่ Node พิมพ์แบบ spec</t>
  </si>
  <si>
    <t>ส่ง --test-reporter=tap ให้ขั้น unit/postgres</t>
  </si>
  <si>
    <t>ดีขึ้นจากเอกสาร</t>
  </si>
  <si>
    <t>OP-06, OP-19, QA-04</t>
  </si>
  <si>
    <t>เดิม FAIL (รูปหาย 2 ไฟล์, CORS ตอบ 500, dependency high 2 รายการ) รอบนี้ผ่านทั้งหมด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</si>
</sst>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8" formatCode="dd/mm/yyyy"/>
    <numFmt numFmtId="189" formatCode="0.0%"/>
  </numFmts>
  <fonts count="7">
    <font>
      <sz val="11"/>
      <color theme="1"/>
      <name val="Tahoma"/>
      <family val="2"/>
      <scheme val="minor"/>
    </font>
    <font>
      <b/>
      <sz val="14"/>
      <color rgb="FFFFFFFF"/>
      <name val="TH Sarabun New"/>
    </font>
    <font>
      <sz val="13"/>
      <name val="TH Sarabun New"/>
    </font>
    <font>
      <b/>
      <sz val="20"/>
      <color rgb="FF1F5F3F"/>
      <name val="TH Sarabun New"/>
    </font>
    <font>
      <b/>
      <sz val="13"/>
      <name val="TH Sarabun New"/>
    </font>
    <font>
      <b/>
      <sz val="15"/>
      <color rgb="FF1F5F3F"/>
      <name val="TH Sarabun New"/>
    </font>
    <font>
      <i/>
      <sz val="12"/>
      <color rgb="FF595959"/>
      <name val="TH Sarabun New"/>
    </font>
  </fonts>
  <fills count="4">
    <fill>
      <patternFill patternType="none"/>
    </fill>
    <fill>
      <patternFill patternType="gray125"/>
    </fill>
    <fill>
      <patternFill patternType="solid">
        <fgColor rgb="FF1F5F3F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7C4D1"/>
      </left>
      <right style="thin">
        <color rgb="FFB7C4D1"/>
      </right>
      <top style="thin">
        <color rgb="FFB7C4D1"/>
      </top>
      <bottom style="thin">
        <color rgb="FFB7C4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89" fontId="2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189" fontId="4" fillId="3" borderId="1" xfId="0" applyNumberFormat="1" applyFont="1" applyFill="1" applyBorder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188" fontId="2" fillId="0" borderId="1" xfId="0" applyNumberFormat="1" applyFont="1" applyBorder="1" applyAlignment="1">
      <alignment horizontal="center" vertical="top" wrapText="1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15">
    <dxf>
      <font>
        <b/>
        <color rgb="FF595959"/>
        <name val="TH Sarabun New"/>
      </font>
      <fill>
        <patternFill patternType="solid">
          <fgColor rgb="FFE7E6E6"/>
        </patternFill>
      </fill>
    </dxf>
    <dxf>
      <font>
        <b/>
        <color rgb="FF9C5700"/>
        <name val="TH Sarabun New"/>
      </font>
      <fill>
        <patternFill patternType="solid">
          <fgColor rgb="FFFFEB9C"/>
        </patternFill>
      </fill>
    </dxf>
    <dxf>
      <font>
        <b/>
        <color rgb="FF9C0006"/>
        <name val="TH Sarabun New"/>
      </font>
      <fill>
        <patternFill patternType="solid">
          <fgColor rgb="FFFFC7CE"/>
        </patternFill>
      </fill>
    </dxf>
    <dxf>
      <font>
        <b/>
        <color rgb="FF9C0006"/>
        <name val="TH Sarabun New"/>
      </font>
      <fill>
        <patternFill patternType="solid">
          <fgColor rgb="FFFFC7CE"/>
        </patternFill>
      </fill>
    </dxf>
    <dxf>
      <font>
        <b/>
        <color rgb="FF006100"/>
        <name val="TH Sarabun New"/>
      </font>
      <fill>
        <patternFill patternType="solid">
          <fgColor rgb="FFC6EFCE"/>
        </patternFill>
      </fill>
    </dxf>
    <dxf>
      <font>
        <b/>
        <color rgb="FF595959"/>
        <name val="TH Sarabun New"/>
      </font>
      <fill>
        <patternFill patternType="solid">
          <fgColor rgb="FFE7E6E6"/>
        </patternFill>
      </fill>
    </dxf>
    <dxf>
      <font>
        <b/>
        <color rgb="FF9C5700"/>
        <name val="TH Sarabun New"/>
      </font>
      <fill>
        <patternFill patternType="solid">
          <fgColor rgb="FFFFEB9C"/>
        </patternFill>
      </fill>
    </dxf>
    <dxf>
      <font>
        <b/>
        <color rgb="FF9C0006"/>
        <name val="TH Sarabun New"/>
      </font>
      <fill>
        <patternFill patternType="solid">
          <fgColor rgb="FFFFC7CE"/>
        </patternFill>
      </fill>
    </dxf>
    <dxf>
      <font>
        <b/>
        <color rgb="FF9C0006"/>
        <name val="TH Sarabun New"/>
      </font>
      <fill>
        <patternFill patternType="solid">
          <fgColor rgb="FFFFC7CE"/>
        </patternFill>
      </fill>
    </dxf>
    <dxf>
      <font>
        <b/>
        <color rgb="FF006100"/>
        <name val="TH Sarabun New"/>
      </font>
      <fill>
        <patternFill patternType="solid">
          <fgColor rgb="FFC6EFCE"/>
        </patternFill>
      </fill>
    </dxf>
    <dxf>
      <font>
        <b/>
        <color rgb="FF595959"/>
        <name val="TH Sarabun New"/>
      </font>
      <fill>
        <patternFill patternType="solid">
          <fgColor rgb="FFE7E6E6"/>
        </patternFill>
      </fill>
    </dxf>
    <dxf>
      <font>
        <b/>
        <color rgb="FF9C5700"/>
        <name val="TH Sarabun New"/>
      </font>
      <fill>
        <patternFill patternType="solid">
          <fgColor rgb="FFFFEB9C"/>
        </patternFill>
      </fill>
    </dxf>
    <dxf>
      <font>
        <b/>
        <color rgb="FF9C0006"/>
        <name val="TH Sarabun New"/>
      </font>
      <fill>
        <patternFill patternType="solid">
          <fgColor rgb="FFFFC7CE"/>
        </patternFill>
      </fill>
    </dxf>
    <dxf>
      <font>
        <b/>
        <color rgb="FF9C0006"/>
        <name val="TH Sarabun New"/>
      </font>
      <fill>
        <patternFill patternType="solid">
          <fgColor rgb="FFFFC7CE"/>
        </patternFill>
      </fill>
    </dxf>
    <dxf>
      <font>
        <b/>
        <color rgb="FF006100"/>
        <name val="TH Sarabun New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/>
  </sheetViews>
  <sheetFormatPr defaultRowHeight="14.25"/>
  <cols>
    <col min="1" max="1" width="34" customWidth="1"/>
    <col min="2" max="8" width="13" customWidth="1"/>
  </cols>
  <sheetData>
    <row r="1" spans="1:8" ht="26.25">
      <c r="A1" s="1" t="s">
        <v>0</v>
      </c>
    </row>
    <row r="3" spans="1:8" ht="16.5">
      <c r="A3" s="2" t="s">
        <v>1</v>
      </c>
      <c r="B3" s="17" t="s">
        <v>2</v>
      </c>
      <c r="C3" s="18"/>
      <c r="D3" s="18"/>
      <c r="E3" s="18"/>
      <c r="F3" s="18"/>
      <c r="G3" s="18"/>
      <c r="H3" s="18"/>
    </row>
    <row r="4" spans="1:8" ht="16.5">
      <c r="A4" s="2" t="s">
        <v>3</v>
      </c>
      <c r="B4" s="17" t="s">
        <v>4</v>
      </c>
      <c r="C4" s="18"/>
      <c r="D4" s="18"/>
      <c r="E4" s="18"/>
      <c r="F4" s="18"/>
      <c r="G4" s="18"/>
      <c r="H4" s="18"/>
    </row>
    <row r="5" spans="1:8" ht="16.5">
      <c r="A5" s="2" t="s">
        <v>5</v>
      </c>
      <c r="B5" s="17" t="s">
        <v>6</v>
      </c>
      <c r="C5" s="18"/>
      <c r="D5" s="18"/>
      <c r="E5" s="18"/>
      <c r="F5" s="18"/>
      <c r="G5" s="18"/>
      <c r="H5" s="18"/>
    </row>
    <row r="6" spans="1:8" ht="16.5">
      <c r="A6" s="2" t="s">
        <v>7</v>
      </c>
      <c r="B6" s="17" t="s">
        <v>8</v>
      </c>
      <c r="C6" s="18"/>
      <c r="D6" s="18"/>
      <c r="E6" s="18"/>
      <c r="F6" s="18"/>
      <c r="G6" s="18"/>
      <c r="H6" s="18"/>
    </row>
    <row r="7" spans="1:8" ht="16.5">
      <c r="A7" s="2" t="s">
        <v>9</v>
      </c>
      <c r="B7" s="17" t="s">
        <v>10</v>
      </c>
      <c r="C7" s="18"/>
      <c r="D7" s="18"/>
      <c r="E7" s="18"/>
      <c r="F7" s="18"/>
      <c r="G7" s="18"/>
      <c r="H7" s="18"/>
    </row>
    <row r="10" spans="1:8" ht="19.5">
      <c r="A10" s="4" t="s">
        <v>11</v>
      </c>
    </row>
    <row r="11" spans="1:8" ht="18">
      <c r="A11" s="5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18</v>
      </c>
      <c r="H11" s="5" t="s">
        <v>19</v>
      </c>
    </row>
    <row r="12" spans="1:8" ht="16.5">
      <c r="A12" s="6" t="s">
        <v>20</v>
      </c>
      <c r="B12" s="7">
        <f>COUNTIF('Test Cases (เอกสาร)'!$A:$A,"UNIT-*")</f>
        <v>134</v>
      </c>
      <c r="C12" s="7">
        <f>COUNTIFS('Test Cases (เอกสาร)'!$A:$A,"UNIT-*",'Test Cases (เอกสาร)'!$J:$J,"Pass")</f>
        <v>132</v>
      </c>
      <c r="D12" s="7">
        <f>COUNTIFS('Test Cases (เอกสาร)'!$A:$A,"UNIT-*",'Test Cases (เอกสาร)'!$J:$J,"Fail")</f>
        <v>0</v>
      </c>
      <c r="E12" s="7">
        <f>COUNTIFS('Test Cases (เอกสาร)'!$A:$A,"UNIT-*",'Test Cases (เอกสาร)'!$J:$J,"Fail (TODO)")</f>
        <v>0</v>
      </c>
      <c r="F12" s="7">
        <f>COUNTIFS('Test Cases (เอกสาร)'!$A:$A,"UNIT-*",'Test Cases (เอกสาร)'!$J:$J,"Blocked")</f>
        <v>0</v>
      </c>
      <c r="G12" s="7">
        <f>COUNTIFS('Test Cases (เอกสาร)'!$A:$A,"UNIT-*",'Test Cases (เอกสาร)'!$J:$J,"Not Run")</f>
        <v>2</v>
      </c>
      <c r="H12" s="8">
        <f t="shared" ref="H12:H20" si="0">IF((C12+D12+E12)=0,"-",C12/(C12+D12+E12))</f>
        <v>1</v>
      </c>
    </row>
    <row r="13" spans="1:8" ht="16.5">
      <c r="A13" s="6" t="s">
        <v>21</v>
      </c>
      <c r="B13" s="7">
        <f>COUNTIF('Test Cases (เอกสาร)'!$A:$A,"ROLE-*")</f>
        <v>106</v>
      </c>
      <c r="C13" s="7">
        <f>COUNTIFS('Test Cases (เอกสาร)'!$A:$A,"ROLE-*",'Test Cases (เอกสาร)'!$J:$J,"Pass")</f>
        <v>106</v>
      </c>
      <c r="D13" s="7">
        <f>COUNTIFS('Test Cases (เอกสาร)'!$A:$A,"ROLE-*",'Test Cases (เอกสาร)'!$J:$J,"Fail")</f>
        <v>0</v>
      </c>
      <c r="E13" s="7">
        <f>COUNTIFS('Test Cases (เอกสาร)'!$A:$A,"ROLE-*",'Test Cases (เอกสาร)'!$J:$J,"Fail (TODO)")</f>
        <v>0</v>
      </c>
      <c r="F13" s="7">
        <f>COUNTIFS('Test Cases (เอกสาร)'!$A:$A,"ROLE-*",'Test Cases (เอกสาร)'!$J:$J,"Blocked")</f>
        <v>0</v>
      </c>
      <c r="G13" s="7">
        <f>COUNTIFS('Test Cases (เอกสาร)'!$A:$A,"ROLE-*",'Test Cases (เอกสาร)'!$J:$J,"Not Run")</f>
        <v>0</v>
      </c>
      <c r="H13" s="8">
        <f t="shared" si="0"/>
        <v>1</v>
      </c>
    </row>
    <row r="14" spans="1:8" ht="16.5">
      <c r="A14" s="6" t="s">
        <v>22</v>
      </c>
      <c r="B14" s="7">
        <f>COUNTIF('Test Cases (เอกสาร)'!$A:$A,"PG-*")-COUNTIF('Test Cases (เอกสาร)'!$A:$A,"PG-OP-*")</f>
        <v>37</v>
      </c>
      <c r="C14" s="7">
        <f>COUNTIFS('Test Cases (เอกสาร)'!$A:$A,"PG-*",'Test Cases (เอกสาร)'!$J:$J,"Pass")-COUNTIFS('Test Cases (เอกสาร)'!$A:$A,"PG-OP-*",'Test Cases (เอกสาร)'!$J:$J,"Pass")</f>
        <v>37</v>
      </c>
      <c r="D14" s="7">
        <f>COUNTIFS('Test Cases (เอกสาร)'!$A:$A,"PG-*",'Test Cases (เอกสาร)'!$J:$J,"Fail")-COUNTIFS('Test Cases (เอกสาร)'!$A:$A,"PG-OP-*",'Test Cases (เอกสาร)'!$J:$J,"Fail")</f>
        <v>0</v>
      </c>
      <c r="E14" s="7">
        <f>COUNTIFS('Test Cases (เอกสาร)'!$A:$A,"PG-*",'Test Cases (เอกสาร)'!$J:$J,"Fail (TODO)")-COUNTIFS('Test Cases (เอกสาร)'!$A:$A,"PG-OP-*",'Test Cases (เอกสาร)'!$J:$J,"Fail (TODO)")</f>
        <v>0</v>
      </c>
      <c r="F14" s="7">
        <f>COUNTIFS('Test Cases (เอกสาร)'!$A:$A,"PG-*",'Test Cases (เอกสาร)'!$J:$J,"Blocked")-COUNTIFS('Test Cases (เอกสาร)'!$A:$A,"PG-OP-*",'Test Cases (เอกสาร)'!$J:$J,"Blocked")</f>
        <v>0</v>
      </c>
      <c r="G14" s="7">
        <f>COUNTIFS('Test Cases (เอกสาร)'!$A:$A,"PG-*",'Test Cases (เอกสาร)'!$J:$J,"Not Run")-COUNTIFS('Test Cases (เอกสาร)'!$A:$A,"PG-OP-*",'Test Cases (เอกสาร)'!$J:$J,"Not Run")</f>
        <v>0</v>
      </c>
      <c r="H14" s="8">
        <f t="shared" si="0"/>
        <v>1</v>
      </c>
    </row>
    <row r="15" spans="1:8" ht="16.5">
      <c r="A15" s="6" t="s">
        <v>23</v>
      </c>
      <c r="B15" s="7">
        <f>COUNTIF('Test Cases (เอกสาร)'!$A:$A,"PG-OP-*")</f>
        <v>3</v>
      </c>
      <c r="C15" s="7">
        <f>COUNTIFS('Test Cases (เอกสาร)'!$A:$A,"PG-OP-*",'Test Cases (เอกสาร)'!$J:$J,"Pass")</f>
        <v>3</v>
      </c>
      <c r="D15" s="7">
        <f>COUNTIFS('Test Cases (เอกสาร)'!$A:$A,"PG-OP-*",'Test Cases (เอกสาร)'!$J:$J,"Fail")</f>
        <v>0</v>
      </c>
      <c r="E15" s="7">
        <f>COUNTIFS('Test Cases (เอกสาร)'!$A:$A,"PG-OP-*",'Test Cases (เอกสาร)'!$J:$J,"Fail (TODO)")</f>
        <v>0</v>
      </c>
      <c r="F15" s="7">
        <f>COUNTIFS('Test Cases (เอกสาร)'!$A:$A,"PG-OP-*",'Test Cases (เอกสาร)'!$J:$J,"Blocked")</f>
        <v>0</v>
      </c>
      <c r="G15" s="7">
        <f>COUNTIFS('Test Cases (เอกสาร)'!$A:$A,"PG-OP-*",'Test Cases (เอกสาร)'!$J:$J,"Not Run")</f>
        <v>0</v>
      </c>
      <c r="H15" s="8">
        <f t="shared" si="0"/>
        <v>1</v>
      </c>
    </row>
    <row r="16" spans="1:8" ht="16.5">
      <c r="A16" s="6" t="s">
        <v>24</v>
      </c>
      <c r="B16" s="7">
        <f>COUNTIF('Test Cases (เอกสาร)'!$A:$A,"WEB-*")</f>
        <v>122</v>
      </c>
      <c r="C16" s="7">
        <f>COUNTIFS('Test Cases (เอกสาร)'!$A:$A,"WEB-*",'Test Cases (เอกสาร)'!$J:$J,"Pass")</f>
        <v>122</v>
      </c>
      <c r="D16" s="7">
        <f>COUNTIFS('Test Cases (เอกสาร)'!$A:$A,"WEB-*",'Test Cases (เอกสาร)'!$J:$J,"Fail")</f>
        <v>0</v>
      </c>
      <c r="E16" s="7">
        <f>COUNTIFS('Test Cases (เอกสาร)'!$A:$A,"WEB-*",'Test Cases (เอกสาร)'!$J:$J,"Fail (TODO)")</f>
        <v>0</v>
      </c>
      <c r="F16" s="7">
        <f>COUNTIFS('Test Cases (เอกสาร)'!$A:$A,"WEB-*",'Test Cases (เอกสาร)'!$J:$J,"Blocked")</f>
        <v>0</v>
      </c>
      <c r="G16" s="7">
        <f>COUNTIFS('Test Cases (เอกสาร)'!$A:$A,"WEB-*",'Test Cases (เอกสาร)'!$J:$J,"Not Run")</f>
        <v>0</v>
      </c>
      <c r="H16" s="8">
        <f t="shared" si="0"/>
        <v>1</v>
      </c>
    </row>
    <row r="17" spans="1:8" ht="16.5">
      <c r="A17" s="6" t="s">
        <v>25</v>
      </c>
      <c r="B17" s="7">
        <f>COUNTIF('Test Cases (เอกสาร)'!$A:$A,"OP-*")</f>
        <v>21</v>
      </c>
      <c r="C17" s="7">
        <f>COUNTIFS('Test Cases (เอกสาร)'!$A:$A,"OP-*",'Test Cases (เอกสาร)'!$J:$J,"Pass")</f>
        <v>19</v>
      </c>
      <c r="D17" s="7">
        <f>COUNTIFS('Test Cases (เอกสาร)'!$A:$A,"OP-*",'Test Cases (เอกสาร)'!$J:$J,"Fail")</f>
        <v>2</v>
      </c>
      <c r="E17" s="7">
        <f>COUNTIFS('Test Cases (เอกสาร)'!$A:$A,"OP-*",'Test Cases (เอกสาร)'!$J:$J,"Fail (TODO)")</f>
        <v>0</v>
      </c>
      <c r="F17" s="7">
        <f>COUNTIFS('Test Cases (เอกสาร)'!$A:$A,"OP-*",'Test Cases (เอกสาร)'!$J:$J,"Blocked")</f>
        <v>0</v>
      </c>
      <c r="G17" s="7">
        <f>COUNTIFS('Test Cases (เอกสาร)'!$A:$A,"OP-*",'Test Cases (เอกสาร)'!$J:$J,"Not Run")</f>
        <v>0</v>
      </c>
      <c r="H17" s="8">
        <f t="shared" si="0"/>
        <v>0.90476190476190477</v>
      </c>
    </row>
    <row r="18" spans="1:8" ht="16.5">
      <c r="A18" s="6" t="s">
        <v>26</v>
      </c>
      <c r="B18" s="7">
        <f>COUNTIF('Test Cases (เอกสาร)'!$A:$A,"QA-*")</f>
        <v>5</v>
      </c>
      <c r="C18" s="7">
        <f>COUNTIFS('Test Cases (เอกสาร)'!$A:$A,"QA-*",'Test Cases (เอกสาร)'!$J:$J,"Pass")</f>
        <v>5</v>
      </c>
      <c r="D18" s="7">
        <f>COUNTIFS('Test Cases (เอกสาร)'!$A:$A,"QA-*",'Test Cases (เอกสาร)'!$J:$J,"Fail")</f>
        <v>0</v>
      </c>
      <c r="E18" s="7">
        <f>COUNTIFS('Test Cases (เอกสาร)'!$A:$A,"QA-*",'Test Cases (เอกสาร)'!$J:$J,"Fail (TODO)")</f>
        <v>0</v>
      </c>
      <c r="F18" s="7">
        <f>COUNTIFS('Test Cases (เอกสาร)'!$A:$A,"QA-*",'Test Cases (เอกสาร)'!$J:$J,"Blocked")</f>
        <v>0</v>
      </c>
      <c r="G18" s="7">
        <f>COUNTIFS('Test Cases (เอกสาร)'!$A:$A,"QA-*",'Test Cases (เอกสาร)'!$J:$J,"Not Run")</f>
        <v>0</v>
      </c>
      <c r="H18" s="8">
        <f t="shared" si="0"/>
        <v>1</v>
      </c>
    </row>
    <row r="19" spans="1:8" ht="16.5">
      <c r="A19" s="6" t="s">
        <v>27</v>
      </c>
      <c r="B19" s="7">
        <f>COUNTIF('Test Cases (เอกสาร)'!$A:$A,"EXT-*")</f>
        <v>8</v>
      </c>
      <c r="C19" s="7">
        <f>COUNTIFS('Test Cases (เอกสาร)'!$A:$A,"EXT-*",'Test Cases (เอกสาร)'!$J:$J,"Pass")</f>
        <v>0</v>
      </c>
      <c r="D19" s="7">
        <f>COUNTIFS('Test Cases (เอกสาร)'!$A:$A,"EXT-*",'Test Cases (เอกสาร)'!$J:$J,"Fail")</f>
        <v>0</v>
      </c>
      <c r="E19" s="7">
        <f>COUNTIFS('Test Cases (เอกสาร)'!$A:$A,"EXT-*",'Test Cases (เอกสาร)'!$J:$J,"Fail (TODO)")</f>
        <v>0</v>
      </c>
      <c r="F19" s="7">
        <f>COUNTIFS('Test Cases (เอกสาร)'!$A:$A,"EXT-*",'Test Cases (เอกสาร)'!$J:$J,"Blocked")</f>
        <v>5</v>
      </c>
      <c r="G19" s="7">
        <f>COUNTIFS('Test Cases (เอกสาร)'!$A:$A,"EXT-*",'Test Cases (เอกสาร)'!$J:$J,"Not Run")</f>
        <v>3</v>
      </c>
      <c r="H19" s="8" t="str">
        <f t="shared" si="0"/>
        <v>-</v>
      </c>
    </row>
    <row r="20" spans="1:8" ht="16.5">
      <c r="A20" s="9" t="s">
        <v>28</v>
      </c>
      <c r="B20" s="10">
        <f t="shared" ref="B20:G20" si="1">SUM(B12:B19)</f>
        <v>436</v>
      </c>
      <c r="C20" s="10">
        <f t="shared" si="1"/>
        <v>424</v>
      </c>
      <c r="D20" s="10">
        <f t="shared" si="1"/>
        <v>2</v>
      </c>
      <c r="E20" s="10">
        <f t="shared" si="1"/>
        <v>0</v>
      </c>
      <c r="F20" s="10">
        <f t="shared" si="1"/>
        <v>5</v>
      </c>
      <c r="G20" s="10">
        <f t="shared" si="1"/>
        <v>5</v>
      </c>
      <c r="H20" s="11">
        <f t="shared" si="0"/>
        <v>0.99530516431924887</v>
      </c>
    </row>
    <row r="22" spans="1:8" ht="19.5">
      <c r="A22" s="4" t="s">
        <v>29</v>
      </c>
    </row>
    <row r="23" spans="1:8" ht="18">
      <c r="A23" s="5" t="s">
        <v>12</v>
      </c>
      <c r="B23" s="5" t="s">
        <v>13</v>
      </c>
      <c r="C23" s="5" t="s">
        <v>14</v>
      </c>
      <c r="D23" s="5" t="s">
        <v>15</v>
      </c>
      <c r="E23" s="5" t="s">
        <v>16</v>
      </c>
      <c r="F23" s="5" t="s">
        <v>17</v>
      </c>
      <c r="G23" s="5" t="s">
        <v>18</v>
      </c>
      <c r="H23" s="5" t="s">
        <v>19</v>
      </c>
    </row>
    <row r="24" spans="1:8" ht="16.5">
      <c r="A24" s="6" t="s">
        <v>30</v>
      </c>
      <c r="B24" s="7">
        <f>COUNTIF('User Manual'!$A:$A,"UM-*")</f>
        <v>19</v>
      </c>
      <c r="C24" s="7">
        <f>COUNTIFS('User Manual'!$A:$A,"UM-*",'User Manual'!$G:$G,"Pass")</f>
        <v>16</v>
      </c>
      <c r="D24" s="7">
        <f>COUNTIFS('User Manual'!$A:$A,"UM-*",'User Manual'!$G:$G,"Fail")</f>
        <v>2</v>
      </c>
      <c r="E24" s="7">
        <f>COUNTIFS('User Manual'!$A:$A,"UM-*",'User Manual'!$G:$G,"Fail (TODO)")</f>
        <v>0</v>
      </c>
      <c r="F24" s="7">
        <f>COUNTIFS('User Manual'!$A:$A,"UM-*",'User Manual'!$G:$G,"Blocked")</f>
        <v>0</v>
      </c>
      <c r="G24" s="7">
        <f>COUNTIFS('User Manual'!$A:$A,"UM-*",'User Manual'!$G:$G,"Not Run")</f>
        <v>1</v>
      </c>
      <c r="H24" s="8">
        <f>IF((C24+D24+E24)=0,"-",C24/(C24+D24+E24))</f>
        <v>0.88888888888888884</v>
      </c>
    </row>
    <row r="25" spans="1:8" ht="16.5">
      <c r="A25" s="9" t="s">
        <v>28</v>
      </c>
      <c r="B25" s="10">
        <f t="shared" ref="B25:G25" si="2">SUM(B24:B24)</f>
        <v>19</v>
      </c>
      <c r="C25" s="10">
        <f t="shared" si="2"/>
        <v>16</v>
      </c>
      <c r="D25" s="10">
        <f t="shared" si="2"/>
        <v>2</v>
      </c>
      <c r="E25" s="10">
        <f t="shared" si="2"/>
        <v>0</v>
      </c>
      <c r="F25" s="10">
        <f t="shared" si="2"/>
        <v>0</v>
      </c>
      <c r="G25" s="10">
        <f t="shared" si="2"/>
        <v>1</v>
      </c>
      <c r="H25" s="11">
        <f>IF((C25+D25+E25)=0,"-",C25/(C25+D25+E25))</f>
        <v>0.88888888888888884</v>
      </c>
    </row>
    <row r="27" spans="1:8" ht="16.5">
      <c r="A27" s="2" t="s">
        <v>31</v>
      </c>
      <c r="B27" s="3">
        <f>COUNTIF('User Manual'!$H:$H,"ไม่ตรง*")+COUNTIF('User Manual'!$H:$H,"ตรงบางส่วน*")</f>
        <v>9</v>
      </c>
    </row>
    <row r="29" spans="1:8" ht="19.5">
      <c r="A29" s="4" t="s">
        <v>32</v>
      </c>
    </row>
    <row r="30" spans="1:8" ht="16.5">
      <c r="A30" s="3" t="s">
        <v>33</v>
      </c>
      <c r="B30" s="3">
        <f>COUNTIFS('Test Cases (เอกสาร)'!$K:$K,"Fail",'Test Cases (เอกสาร)'!$J:$J,"Pass")</f>
        <v>17</v>
      </c>
    </row>
    <row r="31" spans="1:8" ht="16.5">
      <c r="A31" s="3" t="s">
        <v>34</v>
      </c>
      <c r="B31" s="3">
        <f>COUNTIFS('Test Cases (เอกสาร)'!$K:$K,"Pass",'Test Cases (เอกสาร)'!$J:$J,"&lt;&gt;Pass")</f>
        <v>1</v>
      </c>
    </row>
    <row r="32" spans="1:8" ht="16.5">
      <c r="A32" s="3" t="s">
        <v>35</v>
      </c>
      <c r="B32" s="3">
        <f>COUNTIFS('Test Cases (เอกสาร)'!$K:$K,"Fail",'Test Cases (เอกสาร)'!$J:$J,"Fail")</f>
        <v>1</v>
      </c>
    </row>
    <row r="34" spans="1:1" ht="15">
      <c r="A34" s="12" t="s">
        <v>36</v>
      </c>
    </row>
  </sheetData>
  <mergeCells count="5">
    <mergeCell ref="B4:H4"/>
    <mergeCell ref="B6:H6"/>
    <mergeCell ref="B7:H7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7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/>
  <cols>
    <col min="1" max="1" width="11" customWidth="1"/>
    <col min="2" max="2" width="20" customWidth="1"/>
    <col min="3" max="3" width="42" customWidth="1"/>
    <col min="4" max="4" width="26" customWidth="1"/>
    <col min="5" max="6" width="28" customWidth="1"/>
    <col min="7" max="7" width="24" customWidth="1"/>
    <col min="8" max="8" width="36" customWidth="1"/>
    <col min="9" max="9" width="40" customWidth="1"/>
    <col min="10" max="10" width="12" customWidth="1"/>
    <col min="11" max="12" width="13" customWidth="1"/>
    <col min="13" max="13" width="11" customWidth="1"/>
    <col min="14" max="14" width="22" customWidth="1"/>
    <col min="15" max="15" width="16" customWidth="1"/>
    <col min="16" max="16" width="12" customWidth="1"/>
  </cols>
  <sheetData>
    <row r="1" spans="1:16" ht="33.950000000000003" customHeight="1">
      <c r="A1" s="13" t="s">
        <v>37</v>
      </c>
      <c r="B1" s="13" t="s">
        <v>12</v>
      </c>
      <c r="C1" s="13" t="s">
        <v>38</v>
      </c>
      <c r="D1" s="13" t="s">
        <v>39</v>
      </c>
      <c r="E1" s="13" t="s">
        <v>40</v>
      </c>
      <c r="F1" s="13" t="s">
        <v>41</v>
      </c>
      <c r="G1" s="13" t="s">
        <v>42</v>
      </c>
      <c r="H1" s="13" t="s">
        <v>43</v>
      </c>
      <c r="I1" s="13" t="s">
        <v>44</v>
      </c>
      <c r="J1" s="13" t="s">
        <v>45</v>
      </c>
      <c r="K1" s="13" t="s">
        <v>46</v>
      </c>
      <c r="L1" s="13" t="s">
        <v>47</v>
      </c>
      <c r="M1" s="13" t="s">
        <v>48</v>
      </c>
      <c r="N1" s="13" t="s">
        <v>49</v>
      </c>
      <c r="O1" s="13" t="s">
        <v>3</v>
      </c>
      <c r="P1" s="13" t="s">
        <v>50</v>
      </c>
    </row>
    <row r="2" spans="1:16" ht="90" customHeight="1">
      <c r="A2" s="14" t="s">
        <v>51</v>
      </c>
      <c r="B2" s="15" t="s">
        <v>20</v>
      </c>
      <c r="C2" s="15" t="s">
        <v>52</v>
      </c>
      <c r="D2" s="15" t="s">
        <v>53</v>
      </c>
      <c r="E2" s="15" t="s">
        <v>54</v>
      </c>
      <c r="F2" s="15" t="s">
        <v>55</v>
      </c>
      <c r="G2" s="15" t="s">
        <v>56</v>
      </c>
      <c r="H2" s="15" t="s">
        <v>52</v>
      </c>
      <c r="I2" s="15" t="s">
        <v>57</v>
      </c>
      <c r="J2" s="14" t="s">
        <v>14</v>
      </c>
      <c r="K2" s="14" t="s">
        <v>14</v>
      </c>
      <c r="L2" s="14" t="s">
        <v>58</v>
      </c>
      <c r="M2" s="14"/>
      <c r="N2" s="15" t="s">
        <v>59</v>
      </c>
      <c r="O2" s="15" t="s">
        <v>4</v>
      </c>
      <c r="P2" s="16">
        <v>46320</v>
      </c>
    </row>
    <row r="3" spans="1:16" ht="90" customHeight="1">
      <c r="A3" s="14" t="s">
        <v>60</v>
      </c>
      <c r="B3" s="15" t="s">
        <v>20</v>
      </c>
      <c r="C3" s="15" t="s">
        <v>61</v>
      </c>
      <c r="D3" s="15" t="s">
        <v>53</v>
      </c>
      <c r="E3" s="15" t="s">
        <v>54</v>
      </c>
      <c r="F3" s="15" t="s">
        <v>55</v>
      </c>
      <c r="G3" s="15" t="s">
        <v>56</v>
      </c>
      <c r="H3" s="15" t="s">
        <v>61</v>
      </c>
      <c r="I3" s="15" t="s">
        <v>57</v>
      </c>
      <c r="J3" s="14" t="s">
        <v>14</v>
      </c>
      <c r="K3" s="14" t="s">
        <v>14</v>
      </c>
      <c r="L3" s="14" t="s">
        <v>58</v>
      </c>
      <c r="M3" s="14"/>
      <c r="N3" s="15" t="s">
        <v>59</v>
      </c>
      <c r="O3" s="15" t="s">
        <v>4</v>
      </c>
      <c r="P3" s="16">
        <v>46320</v>
      </c>
    </row>
    <row r="4" spans="1:16" ht="90" customHeight="1">
      <c r="A4" s="14" t="s">
        <v>62</v>
      </c>
      <c r="B4" s="15" t="s">
        <v>20</v>
      </c>
      <c r="C4" s="15" t="s">
        <v>63</v>
      </c>
      <c r="D4" s="15" t="s">
        <v>53</v>
      </c>
      <c r="E4" s="15" t="s">
        <v>54</v>
      </c>
      <c r="F4" s="15" t="s">
        <v>55</v>
      </c>
      <c r="G4" s="15" t="s">
        <v>56</v>
      </c>
      <c r="H4" s="15" t="s">
        <v>63</v>
      </c>
      <c r="I4" s="15" t="s">
        <v>57</v>
      </c>
      <c r="J4" s="14" t="s">
        <v>14</v>
      </c>
      <c r="K4" s="14" t="s">
        <v>14</v>
      </c>
      <c r="L4" s="14" t="s">
        <v>58</v>
      </c>
      <c r="M4" s="14"/>
      <c r="N4" s="15" t="s">
        <v>59</v>
      </c>
      <c r="O4" s="15" t="s">
        <v>4</v>
      </c>
      <c r="P4" s="16">
        <v>46320</v>
      </c>
    </row>
    <row r="5" spans="1:16" ht="90" customHeight="1">
      <c r="A5" s="14" t="s">
        <v>64</v>
      </c>
      <c r="B5" s="15" t="s">
        <v>20</v>
      </c>
      <c r="C5" s="15" t="s">
        <v>65</v>
      </c>
      <c r="D5" s="15" t="s">
        <v>53</v>
      </c>
      <c r="E5" s="15" t="s">
        <v>54</v>
      </c>
      <c r="F5" s="15" t="s">
        <v>55</v>
      </c>
      <c r="G5" s="15" t="s">
        <v>56</v>
      </c>
      <c r="H5" s="15" t="s">
        <v>65</v>
      </c>
      <c r="I5" s="15" t="s">
        <v>57</v>
      </c>
      <c r="J5" s="14" t="s">
        <v>14</v>
      </c>
      <c r="K5" s="14" t="s">
        <v>14</v>
      </c>
      <c r="L5" s="14" t="s">
        <v>58</v>
      </c>
      <c r="M5" s="14"/>
      <c r="N5" s="15" t="s">
        <v>59</v>
      </c>
      <c r="O5" s="15" t="s">
        <v>4</v>
      </c>
      <c r="P5" s="16">
        <v>46320</v>
      </c>
    </row>
    <row r="6" spans="1:16" ht="90" customHeight="1">
      <c r="A6" s="14" t="s">
        <v>66</v>
      </c>
      <c r="B6" s="15" t="s">
        <v>20</v>
      </c>
      <c r="C6" s="15" t="s">
        <v>67</v>
      </c>
      <c r="D6" s="15" t="s">
        <v>53</v>
      </c>
      <c r="E6" s="15" t="s">
        <v>54</v>
      </c>
      <c r="F6" s="15" t="s">
        <v>55</v>
      </c>
      <c r="G6" s="15" t="s">
        <v>56</v>
      </c>
      <c r="H6" s="15" t="s">
        <v>67</v>
      </c>
      <c r="I6" s="15" t="s">
        <v>57</v>
      </c>
      <c r="J6" s="14" t="s">
        <v>14</v>
      </c>
      <c r="K6" s="14" t="s">
        <v>14</v>
      </c>
      <c r="L6" s="14" t="s">
        <v>58</v>
      </c>
      <c r="M6" s="14"/>
      <c r="N6" s="15" t="s">
        <v>59</v>
      </c>
      <c r="O6" s="15" t="s">
        <v>4</v>
      </c>
      <c r="P6" s="16">
        <v>46320</v>
      </c>
    </row>
    <row r="7" spans="1:16" ht="90" customHeight="1">
      <c r="A7" s="14" t="s">
        <v>68</v>
      </c>
      <c r="B7" s="15" t="s">
        <v>20</v>
      </c>
      <c r="C7" s="15" t="s">
        <v>69</v>
      </c>
      <c r="D7" s="15" t="s">
        <v>70</v>
      </c>
      <c r="E7" s="15" t="s">
        <v>54</v>
      </c>
      <c r="F7" s="15" t="s">
        <v>55</v>
      </c>
      <c r="G7" s="15" t="s">
        <v>56</v>
      </c>
      <c r="H7" s="15" t="s">
        <v>69</v>
      </c>
      <c r="I7" s="15" t="s">
        <v>57</v>
      </c>
      <c r="J7" s="14" t="s">
        <v>14</v>
      </c>
      <c r="K7" s="14" t="s">
        <v>14</v>
      </c>
      <c r="L7" s="14" t="s">
        <v>58</v>
      </c>
      <c r="M7" s="14"/>
      <c r="N7" s="15" t="s">
        <v>59</v>
      </c>
      <c r="O7" s="15" t="s">
        <v>4</v>
      </c>
      <c r="P7" s="16">
        <v>46320</v>
      </c>
    </row>
    <row r="8" spans="1:16" ht="90" customHeight="1">
      <c r="A8" s="14" t="s">
        <v>71</v>
      </c>
      <c r="B8" s="15" t="s">
        <v>20</v>
      </c>
      <c r="C8" s="15" t="s">
        <v>72</v>
      </c>
      <c r="D8" s="15" t="s">
        <v>73</v>
      </c>
      <c r="E8" s="15" t="s">
        <v>54</v>
      </c>
      <c r="F8" s="15" t="s">
        <v>55</v>
      </c>
      <c r="G8" s="15" t="s">
        <v>56</v>
      </c>
      <c r="H8" s="15" t="s">
        <v>72</v>
      </c>
      <c r="I8" s="15" t="s">
        <v>57</v>
      </c>
      <c r="J8" s="14" t="s">
        <v>14</v>
      </c>
      <c r="K8" s="14" t="s">
        <v>14</v>
      </c>
      <c r="L8" s="14" t="s">
        <v>58</v>
      </c>
      <c r="M8" s="14"/>
      <c r="N8" s="15" t="s">
        <v>59</v>
      </c>
      <c r="O8" s="15" t="s">
        <v>4</v>
      </c>
      <c r="P8" s="16">
        <v>46320</v>
      </c>
    </row>
    <row r="9" spans="1:16" ht="90" customHeight="1">
      <c r="A9" s="14" t="s">
        <v>74</v>
      </c>
      <c r="B9" s="15" t="s">
        <v>20</v>
      </c>
      <c r="C9" s="15" t="s">
        <v>75</v>
      </c>
      <c r="D9" s="15" t="s">
        <v>73</v>
      </c>
      <c r="E9" s="15" t="s">
        <v>54</v>
      </c>
      <c r="F9" s="15" t="s">
        <v>55</v>
      </c>
      <c r="G9" s="15" t="s">
        <v>56</v>
      </c>
      <c r="H9" s="15" t="s">
        <v>75</v>
      </c>
      <c r="I9" s="15" t="s">
        <v>57</v>
      </c>
      <c r="J9" s="14" t="s">
        <v>14</v>
      </c>
      <c r="K9" s="14" t="s">
        <v>14</v>
      </c>
      <c r="L9" s="14" t="s">
        <v>58</v>
      </c>
      <c r="M9" s="14"/>
      <c r="N9" s="15" t="s">
        <v>59</v>
      </c>
      <c r="O9" s="15" t="s">
        <v>4</v>
      </c>
      <c r="P9" s="16">
        <v>46320</v>
      </c>
    </row>
    <row r="10" spans="1:16" ht="90" customHeight="1">
      <c r="A10" s="14" t="s">
        <v>76</v>
      </c>
      <c r="B10" s="15" t="s">
        <v>20</v>
      </c>
      <c r="C10" s="15" t="s">
        <v>77</v>
      </c>
      <c r="D10" s="15" t="s">
        <v>73</v>
      </c>
      <c r="E10" s="15" t="s">
        <v>54</v>
      </c>
      <c r="F10" s="15" t="s">
        <v>55</v>
      </c>
      <c r="G10" s="15" t="s">
        <v>56</v>
      </c>
      <c r="H10" s="15" t="s">
        <v>77</v>
      </c>
      <c r="I10" s="15" t="s">
        <v>57</v>
      </c>
      <c r="J10" s="14" t="s">
        <v>14</v>
      </c>
      <c r="K10" s="14" t="s">
        <v>14</v>
      </c>
      <c r="L10" s="14" t="s">
        <v>58</v>
      </c>
      <c r="M10" s="14"/>
      <c r="N10" s="15" t="s">
        <v>59</v>
      </c>
      <c r="O10" s="15" t="s">
        <v>4</v>
      </c>
      <c r="P10" s="16">
        <v>46320</v>
      </c>
    </row>
    <row r="11" spans="1:16" ht="90" customHeight="1">
      <c r="A11" s="14" t="s">
        <v>78</v>
      </c>
      <c r="B11" s="15" t="s">
        <v>20</v>
      </c>
      <c r="C11" s="15" t="s">
        <v>79</v>
      </c>
      <c r="D11" s="15" t="s">
        <v>73</v>
      </c>
      <c r="E11" s="15" t="s">
        <v>54</v>
      </c>
      <c r="F11" s="15" t="s">
        <v>55</v>
      </c>
      <c r="G11" s="15" t="s">
        <v>56</v>
      </c>
      <c r="H11" s="15" t="s">
        <v>79</v>
      </c>
      <c r="I11" s="15" t="s">
        <v>57</v>
      </c>
      <c r="J11" s="14" t="s">
        <v>14</v>
      </c>
      <c r="K11" s="14" t="s">
        <v>14</v>
      </c>
      <c r="L11" s="14" t="s">
        <v>58</v>
      </c>
      <c r="M11" s="14"/>
      <c r="N11" s="15" t="s">
        <v>59</v>
      </c>
      <c r="O11" s="15" t="s">
        <v>4</v>
      </c>
      <c r="P11" s="16">
        <v>46320</v>
      </c>
    </row>
    <row r="12" spans="1:16" ht="90" customHeight="1">
      <c r="A12" s="14" t="s">
        <v>80</v>
      </c>
      <c r="B12" s="15" t="s">
        <v>20</v>
      </c>
      <c r="C12" s="15" t="s">
        <v>81</v>
      </c>
      <c r="D12" s="15" t="s">
        <v>73</v>
      </c>
      <c r="E12" s="15" t="s">
        <v>54</v>
      </c>
      <c r="F12" s="15" t="s">
        <v>55</v>
      </c>
      <c r="G12" s="15" t="s">
        <v>56</v>
      </c>
      <c r="H12" s="15" t="s">
        <v>81</v>
      </c>
      <c r="I12" s="15" t="s">
        <v>57</v>
      </c>
      <c r="J12" s="14" t="s">
        <v>14</v>
      </c>
      <c r="K12" s="14" t="s">
        <v>14</v>
      </c>
      <c r="L12" s="14" t="s">
        <v>58</v>
      </c>
      <c r="M12" s="14"/>
      <c r="N12" s="15" t="s">
        <v>59</v>
      </c>
      <c r="O12" s="15" t="s">
        <v>4</v>
      </c>
      <c r="P12" s="16">
        <v>46320</v>
      </c>
    </row>
    <row r="13" spans="1:16" ht="90" customHeight="1">
      <c r="A13" s="14" t="s">
        <v>82</v>
      </c>
      <c r="B13" s="15" t="s">
        <v>20</v>
      </c>
      <c r="C13" s="15" t="s">
        <v>83</v>
      </c>
      <c r="D13" s="15" t="s">
        <v>73</v>
      </c>
      <c r="E13" s="15" t="s">
        <v>54</v>
      </c>
      <c r="F13" s="15" t="s">
        <v>55</v>
      </c>
      <c r="G13" s="15" t="s">
        <v>56</v>
      </c>
      <c r="H13" s="15" t="s">
        <v>83</v>
      </c>
      <c r="I13" s="15" t="s">
        <v>57</v>
      </c>
      <c r="J13" s="14" t="s">
        <v>14</v>
      </c>
      <c r="K13" s="14" t="s">
        <v>14</v>
      </c>
      <c r="L13" s="14" t="s">
        <v>58</v>
      </c>
      <c r="M13" s="14"/>
      <c r="N13" s="15" t="s">
        <v>59</v>
      </c>
      <c r="O13" s="15" t="s">
        <v>4</v>
      </c>
      <c r="P13" s="16">
        <v>46320</v>
      </c>
    </row>
    <row r="14" spans="1:16" ht="90" customHeight="1">
      <c r="A14" s="14" t="s">
        <v>84</v>
      </c>
      <c r="B14" s="15" t="s">
        <v>20</v>
      </c>
      <c r="C14" s="15" t="s">
        <v>85</v>
      </c>
      <c r="D14" s="15" t="s">
        <v>73</v>
      </c>
      <c r="E14" s="15" t="s">
        <v>54</v>
      </c>
      <c r="F14" s="15" t="s">
        <v>55</v>
      </c>
      <c r="G14" s="15" t="s">
        <v>56</v>
      </c>
      <c r="H14" s="15" t="s">
        <v>85</v>
      </c>
      <c r="I14" s="15" t="s">
        <v>57</v>
      </c>
      <c r="J14" s="14" t="s">
        <v>14</v>
      </c>
      <c r="K14" s="14" t="s">
        <v>14</v>
      </c>
      <c r="L14" s="14" t="s">
        <v>58</v>
      </c>
      <c r="M14" s="14"/>
      <c r="N14" s="15" t="s">
        <v>59</v>
      </c>
      <c r="O14" s="15" t="s">
        <v>4</v>
      </c>
      <c r="P14" s="16">
        <v>46320</v>
      </c>
    </row>
    <row r="15" spans="1:16" ht="90" customHeight="1">
      <c r="A15" s="14" t="s">
        <v>86</v>
      </c>
      <c r="B15" s="15" t="s">
        <v>20</v>
      </c>
      <c r="C15" s="15" t="s">
        <v>87</v>
      </c>
      <c r="D15" s="15" t="s">
        <v>73</v>
      </c>
      <c r="E15" s="15" t="s">
        <v>54</v>
      </c>
      <c r="F15" s="15" t="s">
        <v>55</v>
      </c>
      <c r="G15" s="15" t="s">
        <v>56</v>
      </c>
      <c r="H15" s="15" t="s">
        <v>87</v>
      </c>
      <c r="I15" s="15" t="s">
        <v>57</v>
      </c>
      <c r="J15" s="14" t="s">
        <v>14</v>
      </c>
      <c r="K15" s="14" t="s">
        <v>14</v>
      </c>
      <c r="L15" s="14" t="s">
        <v>58</v>
      </c>
      <c r="M15" s="14"/>
      <c r="N15" s="15" t="s">
        <v>59</v>
      </c>
      <c r="O15" s="15" t="s">
        <v>4</v>
      </c>
      <c r="P15" s="16">
        <v>46320</v>
      </c>
    </row>
    <row r="16" spans="1:16" ht="90" customHeight="1">
      <c r="A16" s="14" t="s">
        <v>88</v>
      </c>
      <c r="B16" s="15" t="s">
        <v>20</v>
      </c>
      <c r="C16" s="15" t="s">
        <v>89</v>
      </c>
      <c r="D16" s="15" t="s">
        <v>73</v>
      </c>
      <c r="E16" s="15" t="s">
        <v>54</v>
      </c>
      <c r="F16" s="15" t="s">
        <v>55</v>
      </c>
      <c r="G16" s="15" t="s">
        <v>56</v>
      </c>
      <c r="H16" s="15" t="s">
        <v>89</v>
      </c>
      <c r="I16" s="15" t="s">
        <v>57</v>
      </c>
      <c r="J16" s="14" t="s">
        <v>14</v>
      </c>
      <c r="K16" s="14" t="s">
        <v>14</v>
      </c>
      <c r="L16" s="14" t="s">
        <v>58</v>
      </c>
      <c r="M16" s="14"/>
      <c r="N16" s="15" t="s">
        <v>59</v>
      </c>
      <c r="O16" s="15" t="s">
        <v>4</v>
      </c>
      <c r="P16" s="16">
        <v>46320</v>
      </c>
    </row>
    <row r="17" spans="1:16" ht="90" customHeight="1">
      <c r="A17" s="14" t="s">
        <v>90</v>
      </c>
      <c r="B17" s="15" t="s">
        <v>20</v>
      </c>
      <c r="C17" s="15" t="s">
        <v>91</v>
      </c>
      <c r="D17" s="15" t="s">
        <v>73</v>
      </c>
      <c r="E17" s="15" t="s">
        <v>54</v>
      </c>
      <c r="F17" s="15" t="s">
        <v>55</v>
      </c>
      <c r="G17" s="15" t="s">
        <v>56</v>
      </c>
      <c r="H17" s="15" t="s">
        <v>91</v>
      </c>
      <c r="I17" s="15" t="s">
        <v>57</v>
      </c>
      <c r="J17" s="14" t="s">
        <v>14</v>
      </c>
      <c r="K17" s="14" t="s">
        <v>14</v>
      </c>
      <c r="L17" s="14" t="s">
        <v>58</v>
      </c>
      <c r="M17" s="14"/>
      <c r="N17" s="15" t="s">
        <v>59</v>
      </c>
      <c r="O17" s="15" t="s">
        <v>4</v>
      </c>
      <c r="P17" s="16">
        <v>46320</v>
      </c>
    </row>
    <row r="18" spans="1:16" ht="90" customHeight="1">
      <c r="A18" s="14" t="s">
        <v>92</v>
      </c>
      <c r="B18" s="15" t="s">
        <v>20</v>
      </c>
      <c r="C18" s="15" t="s">
        <v>93</v>
      </c>
      <c r="D18" s="15" t="s">
        <v>73</v>
      </c>
      <c r="E18" s="15" t="s">
        <v>54</v>
      </c>
      <c r="F18" s="15" t="s">
        <v>55</v>
      </c>
      <c r="G18" s="15" t="s">
        <v>56</v>
      </c>
      <c r="H18" s="15" t="s">
        <v>93</v>
      </c>
      <c r="I18" s="15" t="s">
        <v>57</v>
      </c>
      <c r="J18" s="14" t="s">
        <v>14</v>
      </c>
      <c r="K18" s="14" t="s">
        <v>14</v>
      </c>
      <c r="L18" s="14" t="s">
        <v>58</v>
      </c>
      <c r="M18" s="14"/>
      <c r="N18" s="15" t="s">
        <v>59</v>
      </c>
      <c r="O18" s="15" t="s">
        <v>4</v>
      </c>
      <c r="P18" s="16">
        <v>46320</v>
      </c>
    </row>
    <row r="19" spans="1:16" ht="90" customHeight="1">
      <c r="A19" s="14" t="s">
        <v>94</v>
      </c>
      <c r="B19" s="15" t="s">
        <v>20</v>
      </c>
      <c r="C19" s="15" t="s">
        <v>95</v>
      </c>
      <c r="D19" s="15" t="s">
        <v>73</v>
      </c>
      <c r="E19" s="15" t="s">
        <v>54</v>
      </c>
      <c r="F19" s="15" t="s">
        <v>55</v>
      </c>
      <c r="G19" s="15" t="s">
        <v>56</v>
      </c>
      <c r="H19" s="15" t="s">
        <v>95</v>
      </c>
      <c r="I19" s="15" t="s">
        <v>57</v>
      </c>
      <c r="J19" s="14" t="s">
        <v>14</v>
      </c>
      <c r="K19" s="14" t="s">
        <v>14</v>
      </c>
      <c r="L19" s="14" t="s">
        <v>58</v>
      </c>
      <c r="M19" s="14"/>
      <c r="N19" s="15" t="s">
        <v>59</v>
      </c>
      <c r="O19" s="15" t="s">
        <v>4</v>
      </c>
      <c r="P19" s="16">
        <v>46320</v>
      </c>
    </row>
    <row r="20" spans="1:16" ht="90" customHeight="1">
      <c r="A20" s="14" t="s">
        <v>96</v>
      </c>
      <c r="B20" s="15" t="s">
        <v>20</v>
      </c>
      <c r="C20" s="15" t="s">
        <v>97</v>
      </c>
      <c r="D20" s="15" t="s">
        <v>73</v>
      </c>
      <c r="E20" s="15" t="s">
        <v>54</v>
      </c>
      <c r="F20" s="15" t="s">
        <v>55</v>
      </c>
      <c r="G20" s="15" t="s">
        <v>56</v>
      </c>
      <c r="H20" s="15" t="s">
        <v>97</v>
      </c>
      <c r="I20" s="15" t="s">
        <v>57</v>
      </c>
      <c r="J20" s="14" t="s">
        <v>14</v>
      </c>
      <c r="K20" s="14" t="s">
        <v>14</v>
      </c>
      <c r="L20" s="14" t="s">
        <v>58</v>
      </c>
      <c r="M20" s="14"/>
      <c r="N20" s="15" t="s">
        <v>59</v>
      </c>
      <c r="O20" s="15" t="s">
        <v>4</v>
      </c>
      <c r="P20" s="16">
        <v>46320</v>
      </c>
    </row>
    <row r="21" spans="1:16" ht="90" customHeight="1">
      <c r="A21" s="14" t="s">
        <v>98</v>
      </c>
      <c r="B21" s="15" t="s">
        <v>20</v>
      </c>
      <c r="C21" s="15" t="s">
        <v>99</v>
      </c>
      <c r="D21" s="15" t="s">
        <v>100</v>
      </c>
      <c r="E21" s="15" t="s">
        <v>54</v>
      </c>
      <c r="F21" s="15" t="s">
        <v>55</v>
      </c>
      <c r="G21" s="15" t="s">
        <v>56</v>
      </c>
      <c r="H21" s="15" t="s">
        <v>99</v>
      </c>
      <c r="I21" s="15" t="s">
        <v>57</v>
      </c>
      <c r="J21" s="14" t="s">
        <v>14</v>
      </c>
      <c r="K21" s="14" t="s">
        <v>14</v>
      </c>
      <c r="L21" s="14" t="s">
        <v>58</v>
      </c>
      <c r="M21" s="14"/>
      <c r="N21" s="15" t="s">
        <v>59</v>
      </c>
      <c r="O21" s="15" t="s">
        <v>4</v>
      </c>
      <c r="P21" s="16">
        <v>46320</v>
      </c>
    </row>
    <row r="22" spans="1:16" ht="90" customHeight="1">
      <c r="A22" s="14" t="s">
        <v>101</v>
      </c>
      <c r="B22" s="15" t="s">
        <v>20</v>
      </c>
      <c r="C22" s="15" t="s">
        <v>102</v>
      </c>
      <c r="D22" s="15" t="s">
        <v>100</v>
      </c>
      <c r="E22" s="15" t="s">
        <v>54</v>
      </c>
      <c r="F22" s="15" t="s">
        <v>55</v>
      </c>
      <c r="G22" s="15" t="s">
        <v>56</v>
      </c>
      <c r="H22" s="15" t="s">
        <v>102</v>
      </c>
      <c r="I22" s="15" t="s">
        <v>57</v>
      </c>
      <c r="J22" s="14" t="s">
        <v>14</v>
      </c>
      <c r="K22" s="14" t="s">
        <v>14</v>
      </c>
      <c r="L22" s="14" t="s">
        <v>58</v>
      </c>
      <c r="M22" s="14"/>
      <c r="N22" s="15" t="s">
        <v>59</v>
      </c>
      <c r="O22" s="15" t="s">
        <v>4</v>
      </c>
      <c r="P22" s="16">
        <v>46320</v>
      </c>
    </row>
    <row r="23" spans="1:16" ht="90" customHeight="1">
      <c r="A23" s="14" t="s">
        <v>103</v>
      </c>
      <c r="B23" s="15" t="s">
        <v>20</v>
      </c>
      <c r="C23" s="15" t="s">
        <v>104</v>
      </c>
      <c r="D23" s="15" t="s">
        <v>105</v>
      </c>
      <c r="E23" s="15" t="s">
        <v>54</v>
      </c>
      <c r="F23" s="15" t="s">
        <v>55</v>
      </c>
      <c r="G23" s="15" t="s">
        <v>56</v>
      </c>
      <c r="H23" s="15" t="s">
        <v>104</v>
      </c>
      <c r="I23" s="15" t="s">
        <v>57</v>
      </c>
      <c r="J23" s="14" t="s">
        <v>14</v>
      </c>
      <c r="K23" s="14" t="s">
        <v>14</v>
      </c>
      <c r="L23" s="14" t="s">
        <v>58</v>
      </c>
      <c r="M23" s="14"/>
      <c r="N23" s="15" t="s">
        <v>59</v>
      </c>
      <c r="O23" s="15" t="s">
        <v>4</v>
      </c>
      <c r="P23" s="16">
        <v>46320</v>
      </c>
    </row>
    <row r="24" spans="1:16" ht="90" customHeight="1">
      <c r="A24" s="14" t="s">
        <v>106</v>
      </c>
      <c r="B24" s="15" t="s">
        <v>20</v>
      </c>
      <c r="C24" s="15" t="s">
        <v>107</v>
      </c>
      <c r="D24" s="15" t="s">
        <v>105</v>
      </c>
      <c r="E24" s="15" t="s">
        <v>54</v>
      </c>
      <c r="F24" s="15" t="s">
        <v>55</v>
      </c>
      <c r="G24" s="15" t="s">
        <v>56</v>
      </c>
      <c r="H24" s="15" t="s">
        <v>107</v>
      </c>
      <c r="I24" s="15" t="s">
        <v>57</v>
      </c>
      <c r="J24" s="14" t="s">
        <v>14</v>
      </c>
      <c r="K24" s="14" t="s">
        <v>14</v>
      </c>
      <c r="L24" s="14" t="s">
        <v>58</v>
      </c>
      <c r="M24" s="14"/>
      <c r="N24" s="15" t="s">
        <v>59</v>
      </c>
      <c r="O24" s="15" t="s">
        <v>4</v>
      </c>
      <c r="P24" s="16">
        <v>46320</v>
      </c>
    </row>
    <row r="25" spans="1:16" ht="90" customHeight="1">
      <c r="A25" s="14" t="s">
        <v>108</v>
      </c>
      <c r="B25" s="15" t="s">
        <v>20</v>
      </c>
      <c r="C25" s="15" t="s">
        <v>109</v>
      </c>
      <c r="D25" s="15" t="s">
        <v>105</v>
      </c>
      <c r="E25" s="15" t="s">
        <v>54</v>
      </c>
      <c r="F25" s="15" t="s">
        <v>55</v>
      </c>
      <c r="G25" s="15" t="s">
        <v>56</v>
      </c>
      <c r="H25" s="15" t="s">
        <v>109</v>
      </c>
      <c r="I25" s="15" t="s">
        <v>57</v>
      </c>
      <c r="J25" s="14" t="s">
        <v>14</v>
      </c>
      <c r="K25" s="14" t="s">
        <v>14</v>
      </c>
      <c r="L25" s="14" t="s">
        <v>58</v>
      </c>
      <c r="M25" s="14"/>
      <c r="N25" s="15" t="s">
        <v>59</v>
      </c>
      <c r="O25" s="15" t="s">
        <v>4</v>
      </c>
      <c r="P25" s="16">
        <v>46320</v>
      </c>
    </row>
    <row r="26" spans="1:16" ht="90" customHeight="1">
      <c r="A26" s="14" t="s">
        <v>110</v>
      </c>
      <c r="B26" s="15" t="s">
        <v>20</v>
      </c>
      <c r="C26" s="15" t="s">
        <v>111</v>
      </c>
      <c r="D26" s="15" t="s">
        <v>105</v>
      </c>
      <c r="E26" s="15" t="s">
        <v>54</v>
      </c>
      <c r="F26" s="15" t="s">
        <v>55</v>
      </c>
      <c r="G26" s="15" t="s">
        <v>56</v>
      </c>
      <c r="H26" s="15" t="s">
        <v>111</v>
      </c>
      <c r="I26" s="15" t="s">
        <v>57</v>
      </c>
      <c r="J26" s="14" t="s">
        <v>14</v>
      </c>
      <c r="K26" s="14" t="s">
        <v>14</v>
      </c>
      <c r="L26" s="14" t="s">
        <v>58</v>
      </c>
      <c r="M26" s="14"/>
      <c r="N26" s="15" t="s">
        <v>59</v>
      </c>
      <c r="O26" s="15" t="s">
        <v>4</v>
      </c>
      <c r="P26" s="16">
        <v>46320</v>
      </c>
    </row>
    <row r="27" spans="1:16" ht="90" customHeight="1">
      <c r="A27" s="14" t="s">
        <v>112</v>
      </c>
      <c r="B27" s="15" t="s">
        <v>20</v>
      </c>
      <c r="C27" s="15" t="s">
        <v>113</v>
      </c>
      <c r="D27" s="15" t="s">
        <v>105</v>
      </c>
      <c r="E27" s="15" t="s">
        <v>54</v>
      </c>
      <c r="F27" s="15" t="s">
        <v>55</v>
      </c>
      <c r="G27" s="15" t="s">
        <v>56</v>
      </c>
      <c r="H27" s="15" t="s">
        <v>113</v>
      </c>
      <c r="I27" s="15" t="s">
        <v>57</v>
      </c>
      <c r="J27" s="14" t="s">
        <v>14</v>
      </c>
      <c r="K27" s="14" t="s">
        <v>14</v>
      </c>
      <c r="L27" s="14" t="s">
        <v>58</v>
      </c>
      <c r="M27" s="14"/>
      <c r="N27" s="15" t="s">
        <v>59</v>
      </c>
      <c r="O27" s="15" t="s">
        <v>4</v>
      </c>
      <c r="P27" s="16">
        <v>46320</v>
      </c>
    </row>
    <row r="28" spans="1:16" ht="90" customHeight="1">
      <c r="A28" s="14" t="s">
        <v>114</v>
      </c>
      <c r="B28" s="15" t="s">
        <v>20</v>
      </c>
      <c r="C28" s="15" t="s">
        <v>115</v>
      </c>
      <c r="D28" s="15" t="s">
        <v>116</v>
      </c>
      <c r="E28" s="15" t="s">
        <v>54</v>
      </c>
      <c r="F28" s="15" t="s">
        <v>55</v>
      </c>
      <c r="G28" s="15" t="s">
        <v>56</v>
      </c>
      <c r="H28" s="15" t="s">
        <v>115</v>
      </c>
      <c r="I28" s="15" t="s">
        <v>57</v>
      </c>
      <c r="J28" s="14" t="s">
        <v>14</v>
      </c>
      <c r="K28" s="14" t="s">
        <v>14</v>
      </c>
      <c r="L28" s="14" t="s">
        <v>58</v>
      </c>
      <c r="M28" s="14"/>
      <c r="N28" s="15" t="s">
        <v>59</v>
      </c>
      <c r="O28" s="15" t="s">
        <v>4</v>
      </c>
      <c r="P28" s="16">
        <v>46320</v>
      </c>
    </row>
    <row r="29" spans="1:16" ht="90" customHeight="1">
      <c r="A29" s="14" t="s">
        <v>117</v>
      </c>
      <c r="B29" s="15" t="s">
        <v>20</v>
      </c>
      <c r="C29" s="15" t="s">
        <v>118</v>
      </c>
      <c r="D29" s="15" t="s">
        <v>116</v>
      </c>
      <c r="E29" s="15" t="s">
        <v>54</v>
      </c>
      <c r="F29" s="15" t="s">
        <v>55</v>
      </c>
      <c r="G29" s="15" t="s">
        <v>56</v>
      </c>
      <c r="H29" s="15" t="s">
        <v>118</v>
      </c>
      <c r="I29" s="15" t="s">
        <v>57</v>
      </c>
      <c r="J29" s="14" t="s">
        <v>14</v>
      </c>
      <c r="K29" s="14" t="s">
        <v>14</v>
      </c>
      <c r="L29" s="14" t="s">
        <v>58</v>
      </c>
      <c r="M29" s="14"/>
      <c r="N29" s="15" t="s">
        <v>59</v>
      </c>
      <c r="O29" s="15" t="s">
        <v>4</v>
      </c>
      <c r="P29" s="16">
        <v>46320</v>
      </c>
    </row>
    <row r="30" spans="1:16" ht="90" customHeight="1">
      <c r="A30" s="14" t="s">
        <v>119</v>
      </c>
      <c r="B30" s="15" t="s">
        <v>20</v>
      </c>
      <c r="C30" s="15" t="s">
        <v>120</v>
      </c>
      <c r="D30" s="15" t="s">
        <v>116</v>
      </c>
      <c r="E30" s="15" t="s">
        <v>54</v>
      </c>
      <c r="F30" s="15" t="s">
        <v>55</v>
      </c>
      <c r="G30" s="15" t="s">
        <v>56</v>
      </c>
      <c r="H30" s="15" t="s">
        <v>120</v>
      </c>
      <c r="I30" s="15" t="s">
        <v>57</v>
      </c>
      <c r="J30" s="14" t="s">
        <v>14</v>
      </c>
      <c r="K30" s="14" t="s">
        <v>14</v>
      </c>
      <c r="L30" s="14" t="s">
        <v>58</v>
      </c>
      <c r="M30" s="14"/>
      <c r="N30" s="15" t="s">
        <v>59</v>
      </c>
      <c r="O30" s="15" t="s">
        <v>4</v>
      </c>
      <c r="P30" s="16">
        <v>46320</v>
      </c>
    </row>
    <row r="31" spans="1:16" ht="90" customHeight="1">
      <c r="A31" s="14" t="s">
        <v>121</v>
      </c>
      <c r="B31" s="15" t="s">
        <v>20</v>
      </c>
      <c r="C31" s="15" t="s">
        <v>122</v>
      </c>
      <c r="D31" s="15" t="s">
        <v>123</v>
      </c>
      <c r="E31" s="15" t="s">
        <v>54</v>
      </c>
      <c r="F31" s="15" t="s">
        <v>55</v>
      </c>
      <c r="G31" s="15" t="s">
        <v>56</v>
      </c>
      <c r="H31" s="15" t="s">
        <v>122</v>
      </c>
      <c r="I31" s="15" t="s">
        <v>57</v>
      </c>
      <c r="J31" s="14" t="s">
        <v>14</v>
      </c>
      <c r="K31" s="14" t="s">
        <v>14</v>
      </c>
      <c r="L31" s="14" t="s">
        <v>58</v>
      </c>
      <c r="M31" s="14"/>
      <c r="N31" s="15" t="s">
        <v>59</v>
      </c>
      <c r="O31" s="15" t="s">
        <v>4</v>
      </c>
      <c r="P31" s="16">
        <v>46320</v>
      </c>
    </row>
    <row r="32" spans="1:16" ht="90" customHeight="1">
      <c r="A32" s="14" t="s">
        <v>124</v>
      </c>
      <c r="B32" s="15" t="s">
        <v>20</v>
      </c>
      <c r="C32" s="15" t="s">
        <v>125</v>
      </c>
      <c r="D32" s="15" t="s">
        <v>126</v>
      </c>
      <c r="E32" s="15" t="s">
        <v>54</v>
      </c>
      <c r="F32" s="15" t="s">
        <v>55</v>
      </c>
      <c r="G32" s="15" t="s">
        <v>56</v>
      </c>
      <c r="H32" s="15" t="s">
        <v>125</v>
      </c>
      <c r="I32" s="15" t="s">
        <v>57</v>
      </c>
      <c r="J32" s="14" t="s">
        <v>14</v>
      </c>
      <c r="K32" s="14" t="s">
        <v>14</v>
      </c>
      <c r="L32" s="14" t="s">
        <v>58</v>
      </c>
      <c r="M32" s="14"/>
      <c r="N32" s="15" t="s">
        <v>59</v>
      </c>
      <c r="O32" s="15" t="s">
        <v>4</v>
      </c>
      <c r="P32" s="16">
        <v>46320</v>
      </c>
    </row>
    <row r="33" spans="1:16" ht="90" customHeight="1">
      <c r="A33" s="14" t="s">
        <v>127</v>
      </c>
      <c r="B33" s="15" t="s">
        <v>20</v>
      </c>
      <c r="C33" s="15" t="s">
        <v>128</v>
      </c>
      <c r="D33" s="15" t="s">
        <v>126</v>
      </c>
      <c r="E33" s="15" t="s">
        <v>54</v>
      </c>
      <c r="F33" s="15" t="s">
        <v>55</v>
      </c>
      <c r="G33" s="15" t="s">
        <v>56</v>
      </c>
      <c r="H33" s="15" t="s">
        <v>128</v>
      </c>
      <c r="I33" s="15" t="s">
        <v>57</v>
      </c>
      <c r="J33" s="14" t="s">
        <v>14</v>
      </c>
      <c r="K33" s="14" t="s">
        <v>14</v>
      </c>
      <c r="L33" s="14" t="s">
        <v>58</v>
      </c>
      <c r="M33" s="14"/>
      <c r="N33" s="15" t="s">
        <v>59</v>
      </c>
      <c r="O33" s="15" t="s">
        <v>4</v>
      </c>
      <c r="P33" s="16">
        <v>46320</v>
      </c>
    </row>
    <row r="34" spans="1:16" ht="90" customHeight="1">
      <c r="A34" s="14" t="s">
        <v>129</v>
      </c>
      <c r="B34" s="15" t="s">
        <v>20</v>
      </c>
      <c r="C34" s="15" t="s">
        <v>130</v>
      </c>
      <c r="D34" s="15" t="s">
        <v>126</v>
      </c>
      <c r="E34" s="15" t="s">
        <v>54</v>
      </c>
      <c r="F34" s="15" t="s">
        <v>55</v>
      </c>
      <c r="G34" s="15" t="s">
        <v>56</v>
      </c>
      <c r="H34" s="15" t="s">
        <v>130</v>
      </c>
      <c r="I34" s="15" t="s">
        <v>57</v>
      </c>
      <c r="J34" s="14" t="s">
        <v>14</v>
      </c>
      <c r="K34" s="14" t="s">
        <v>14</v>
      </c>
      <c r="L34" s="14" t="s">
        <v>58</v>
      </c>
      <c r="M34" s="14"/>
      <c r="N34" s="15" t="s">
        <v>59</v>
      </c>
      <c r="O34" s="15" t="s">
        <v>4</v>
      </c>
      <c r="P34" s="16">
        <v>46320</v>
      </c>
    </row>
    <row r="35" spans="1:16" ht="90" customHeight="1">
      <c r="A35" s="14" t="s">
        <v>131</v>
      </c>
      <c r="B35" s="15" t="s">
        <v>20</v>
      </c>
      <c r="C35" s="15" t="s">
        <v>132</v>
      </c>
      <c r="D35" s="15" t="s">
        <v>133</v>
      </c>
      <c r="E35" s="15" t="s">
        <v>54</v>
      </c>
      <c r="F35" s="15" t="s">
        <v>55</v>
      </c>
      <c r="G35" s="15" t="s">
        <v>56</v>
      </c>
      <c r="H35" s="15" t="s">
        <v>132</v>
      </c>
      <c r="I35" s="15" t="s">
        <v>57</v>
      </c>
      <c r="J35" s="14" t="s">
        <v>14</v>
      </c>
      <c r="K35" s="14" t="s">
        <v>14</v>
      </c>
      <c r="L35" s="14" t="s">
        <v>58</v>
      </c>
      <c r="M35" s="14"/>
      <c r="N35" s="15" t="s">
        <v>59</v>
      </c>
      <c r="O35" s="15" t="s">
        <v>4</v>
      </c>
      <c r="P35" s="16">
        <v>46320</v>
      </c>
    </row>
    <row r="36" spans="1:16" ht="90" customHeight="1">
      <c r="A36" s="14" t="s">
        <v>134</v>
      </c>
      <c r="B36" s="15" t="s">
        <v>20</v>
      </c>
      <c r="C36" s="15" t="s">
        <v>135</v>
      </c>
      <c r="D36" s="15" t="s">
        <v>136</v>
      </c>
      <c r="E36" s="15" t="s">
        <v>54</v>
      </c>
      <c r="F36" s="15" t="s">
        <v>55</v>
      </c>
      <c r="G36" s="15" t="s">
        <v>56</v>
      </c>
      <c r="H36" s="15" t="s">
        <v>135</v>
      </c>
      <c r="I36" s="15" t="s">
        <v>57</v>
      </c>
      <c r="J36" s="14" t="s">
        <v>14</v>
      </c>
      <c r="K36" s="14" t="s">
        <v>14</v>
      </c>
      <c r="L36" s="14" t="s">
        <v>58</v>
      </c>
      <c r="M36" s="14"/>
      <c r="N36" s="15" t="s">
        <v>59</v>
      </c>
      <c r="O36" s="15" t="s">
        <v>4</v>
      </c>
      <c r="P36" s="16">
        <v>46320</v>
      </c>
    </row>
    <row r="37" spans="1:16" ht="90" customHeight="1">
      <c r="A37" s="14" t="s">
        <v>137</v>
      </c>
      <c r="B37" s="15" t="s">
        <v>20</v>
      </c>
      <c r="C37" s="15" t="s">
        <v>138</v>
      </c>
      <c r="D37" s="15" t="s">
        <v>136</v>
      </c>
      <c r="E37" s="15" t="s">
        <v>54</v>
      </c>
      <c r="F37" s="15" t="s">
        <v>55</v>
      </c>
      <c r="G37" s="15" t="s">
        <v>56</v>
      </c>
      <c r="H37" s="15" t="s">
        <v>138</v>
      </c>
      <c r="I37" s="15" t="s">
        <v>57</v>
      </c>
      <c r="J37" s="14" t="s">
        <v>14</v>
      </c>
      <c r="K37" s="14" t="s">
        <v>14</v>
      </c>
      <c r="L37" s="14" t="s">
        <v>58</v>
      </c>
      <c r="M37" s="14"/>
      <c r="N37" s="15" t="s">
        <v>59</v>
      </c>
      <c r="O37" s="15" t="s">
        <v>4</v>
      </c>
      <c r="P37" s="16">
        <v>46320</v>
      </c>
    </row>
    <row r="38" spans="1:16" ht="90" customHeight="1">
      <c r="A38" s="14" t="s">
        <v>139</v>
      </c>
      <c r="B38" s="15" t="s">
        <v>20</v>
      </c>
      <c r="C38" s="15" t="s">
        <v>140</v>
      </c>
      <c r="D38" s="15" t="s">
        <v>136</v>
      </c>
      <c r="E38" s="15" t="s">
        <v>54</v>
      </c>
      <c r="F38" s="15" t="s">
        <v>55</v>
      </c>
      <c r="G38" s="15" t="s">
        <v>56</v>
      </c>
      <c r="H38" s="15" t="s">
        <v>140</v>
      </c>
      <c r="I38" s="15" t="s">
        <v>57</v>
      </c>
      <c r="J38" s="14" t="s">
        <v>14</v>
      </c>
      <c r="K38" s="14" t="s">
        <v>14</v>
      </c>
      <c r="L38" s="14" t="s">
        <v>58</v>
      </c>
      <c r="M38" s="14"/>
      <c r="N38" s="15" t="s">
        <v>59</v>
      </c>
      <c r="O38" s="15" t="s">
        <v>4</v>
      </c>
      <c r="P38" s="16">
        <v>46320</v>
      </c>
    </row>
    <row r="39" spans="1:16" ht="90" customHeight="1">
      <c r="A39" s="14" t="s">
        <v>141</v>
      </c>
      <c r="B39" s="15" t="s">
        <v>20</v>
      </c>
      <c r="C39" s="15" t="s">
        <v>142</v>
      </c>
      <c r="D39" s="15" t="s">
        <v>136</v>
      </c>
      <c r="E39" s="15" t="s">
        <v>54</v>
      </c>
      <c r="F39" s="15" t="s">
        <v>55</v>
      </c>
      <c r="G39" s="15" t="s">
        <v>56</v>
      </c>
      <c r="H39" s="15" t="s">
        <v>142</v>
      </c>
      <c r="I39" s="15" t="s">
        <v>57</v>
      </c>
      <c r="J39" s="14" t="s">
        <v>14</v>
      </c>
      <c r="K39" s="14" t="s">
        <v>14</v>
      </c>
      <c r="L39" s="14" t="s">
        <v>58</v>
      </c>
      <c r="M39" s="14"/>
      <c r="N39" s="15" t="s">
        <v>59</v>
      </c>
      <c r="O39" s="15" t="s">
        <v>4</v>
      </c>
      <c r="P39" s="16">
        <v>46320</v>
      </c>
    </row>
    <row r="40" spans="1:16" ht="90" customHeight="1">
      <c r="A40" s="14" t="s">
        <v>143</v>
      </c>
      <c r="B40" s="15" t="s">
        <v>20</v>
      </c>
      <c r="C40" s="15" t="s">
        <v>144</v>
      </c>
      <c r="D40" s="15" t="s">
        <v>136</v>
      </c>
      <c r="E40" s="15" t="s">
        <v>54</v>
      </c>
      <c r="F40" s="15" t="s">
        <v>55</v>
      </c>
      <c r="G40" s="15" t="s">
        <v>56</v>
      </c>
      <c r="H40" s="15" t="s">
        <v>144</v>
      </c>
      <c r="I40" s="15" t="s">
        <v>57</v>
      </c>
      <c r="J40" s="14" t="s">
        <v>14</v>
      </c>
      <c r="K40" s="14" t="s">
        <v>14</v>
      </c>
      <c r="L40" s="14" t="s">
        <v>58</v>
      </c>
      <c r="M40" s="14"/>
      <c r="N40" s="15" t="s">
        <v>59</v>
      </c>
      <c r="O40" s="15" t="s">
        <v>4</v>
      </c>
      <c r="P40" s="16">
        <v>46320</v>
      </c>
    </row>
    <row r="41" spans="1:16" ht="90" customHeight="1">
      <c r="A41" s="14" t="s">
        <v>145</v>
      </c>
      <c r="B41" s="15" t="s">
        <v>20</v>
      </c>
      <c r="C41" s="15" t="s">
        <v>146</v>
      </c>
      <c r="D41" s="15" t="s">
        <v>136</v>
      </c>
      <c r="E41" s="15" t="s">
        <v>54</v>
      </c>
      <c r="F41" s="15" t="s">
        <v>55</v>
      </c>
      <c r="G41" s="15" t="s">
        <v>56</v>
      </c>
      <c r="H41" s="15" t="s">
        <v>146</v>
      </c>
      <c r="I41" s="15" t="s">
        <v>147</v>
      </c>
      <c r="J41" s="14" t="s">
        <v>18</v>
      </c>
      <c r="K41" s="14" t="s">
        <v>17</v>
      </c>
      <c r="L41" s="14" t="s">
        <v>58</v>
      </c>
      <c r="M41" s="14"/>
      <c r="N41" s="15" t="s">
        <v>59</v>
      </c>
      <c r="O41" s="15" t="s">
        <v>4</v>
      </c>
      <c r="P41" s="16">
        <v>46320</v>
      </c>
    </row>
    <row r="42" spans="1:16" ht="90" customHeight="1">
      <c r="A42" s="14" t="s">
        <v>148</v>
      </c>
      <c r="B42" s="15" t="s">
        <v>20</v>
      </c>
      <c r="C42" s="15" t="s">
        <v>149</v>
      </c>
      <c r="D42" s="15" t="s">
        <v>136</v>
      </c>
      <c r="E42" s="15" t="s">
        <v>54</v>
      </c>
      <c r="F42" s="15" t="s">
        <v>55</v>
      </c>
      <c r="G42" s="15" t="s">
        <v>56</v>
      </c>
      <c r="H42" s="15" t="s">
        <v>149</v>
      </c>
      <c r="I42" s="15" t="s">
        <v>57</v>
      </c>
      <c r="J42" s="14" t="s">
        <v>14</v>
      </c>
      <c r="K42" s="14" t="s">
        <v>14</v>
      </c>
      <c r="L42" s="14" t="s">
        <v>58</v>
      </c>
      <c r="M42" s="14"/>
      <c r="N42" s="15" t="s">
        <v>59</v>
      </c>
      <c r="O42" s="15" t="s">
        <v>4</v>
      </c>
      <c r="P42" s="16">
        <v>46320</v>
      </c>
    </row>
    <row r="43" spans="1:16" ht="90" customHeight="1">
      <c r="A43" s="14" t="s">
        <v>150</v>
      </c>
      <c r="B43" s="15" t="s">
        <v>20</v>
      </c>
      <c r="C43" s="15" t="s">
        <v>151</v>
      </c>
      <c r="D43" s="15" t="s">
        <v>136</v>
      </c>
      <c r="E43" s="15" t="s">
        <v>54</v>
      </c>
      <c r="F43" s="15" t="s">
        <v>55</v>
      </c>
      <c r="G43" s="15" t="s">
        <v>56</v>
      </c>
      <c r="H43" s="15" t="s">
        <v>151</v>
      </c>
      <c r="I43" s="15" t="s">
        <v>57</v>
      </c>
      <c r="J43" s="14" t="s">
        <v>14</v>
      </c>
      <c r="K43" s="14" t="s">
        <v>14</v>
      </c>
      <c r="L43" s="14" t="s">
        <v>58</v>
      </c>
      <c r="M43" s="14"/>
      <c r="N43" s="15" t="s">
        <v>59</v>
      </c>
      <c r="O43" s="15" t="s">
        <v>4</v>
      </c>
      <c r="P43" s="16">
        <v>46320</v>
      </c>
    </row>
    <row r="44" spans="1:16" ht="90" customHeight="1">
      <c r="A44" s="14" t="s">
        <v>152</v>
      </c>
      <c r="B44" s="15" t="s">
        <v>20</v>
      </c>
      <c r="C44" s="15" t="s">
        <v>153</v>
      </c>
      <c r="D44" s="15" t="s">
        <v>136</v>
      </c>
      <c r="E44" s="15" t="s">
        <v>54</v>
      </c>
      <c r="F44" s="15" t="s">
        <v>55</v>
      </c>
      <c r="G44" s="15" t="s">
        <v>56</v>
      </c>
      <c r="H44" s="15" t="s">
        <v>153</v>
      </c>
      <c r="I44" s="15" t="s">
        <v>57</v>
      </c>
      <c r="J44" s="14" t="s">
        <v>14</v>
      </c>
      <c r="K44" s="14" t="s">
        <v>14</v>
      </c>
      <c r="L44" s="14" t="s">
        <v>58</v>
      </c>
      <c r="M44" s="14"/>
      <c r="N44" s="15" t="s">
        <v>59</v>
      </c>
      <c r="O44" s="15" t="s">
        <v>4</v>
      </c>
      <c r="P44" s="16">
        <v>46320</v>
      </c>
    </row>
    <row r="45" spans="1:16" ht="90" customHeight="1">
      <c r="A45" s="14" t="s">
        <v>154</v>
      </c>
      <c r="B45" s="15" t="s">
        <v>20</v>
      </c>
      <c r="C45" s="15" t="s">
        <v>155</v>
      </c>
      <c r="D45" s="15" t="s">
        <v>136</v>
      </c>
      <c r="E45" s="15" t="s">
        <v>54</v>
      </c>
      <c r="F45" s="15" t="s">
        <v>55</v>
      </c>
      <c r="G45" s="15" t="s">
        <v>56</v>
      </c>
      <c r="H45" s="15" t="s">
        <v>155</v>
      </c>
      <c r="I45" s="15" t="s">
        <v>57</v>
      </c>
      <c r="J45" s="14" t="s">
        <v>14</v>
      </c>
      <c r="K45" s="14" t="s">
        <v>14</v>
      </c>
      <c r="L45" s="14" t="s">
        <v>58</v>
      </c>
      <c r="M45" s="14"/>
      <c r="N45" s="15" t="s">
        <v>59</v>
      </c>
      <c r="O45" s="15" t="s">
        <v>4</v>
      </c>
      <c r="P45" s="16">
        <v>46320</v>
      </c>
    </row>
    <row r="46" spans="1:16" ht="90" customHeight="1">
      <c r="A46" s="14" t="s">
        <v>156</v>
      </c>
      <c r="B46" s="15" t="s">
        <v>20</v>
      </c>
      <c r="C46" s="15" t="s">
        <v>157</v>
      </c>
      <c r="D46" s="15" t="s">
        <v>136</v>
      </c>
      <c r="E46" s="15" t="s">
        <v>54</v>
      </c>
      <c r="F46" s="15" t="s">
        <v>55</v>
      </c>
      <c r="G46" s="15" t="s">
        <v>56</v>
      </c>
      <c r="H46" s="15" t="s">
        <v>157</v>
      </c>
      <c r="I46" s="15" t="s">
        <v>57</v>
      </c>
      <c r="J46" s="14" t="s">
        <v>14</v>
      </c>
      <c r="K46" s="14" t="s">
        <v>14</v>
      </c>
      <c r="L46" s="14" t="s">
        <v>58</v>
      </c>
      <c r="M46" s="14"/>
      <c r="N46" s="15" t="s">
        <v>59</v>
      </c>
      <c r="O46" s="15" t="s">
        <v>4</v>
      </c>
      <c r="P46" s="16">
        <v>46320</v>
      </c>
    </row>
    <row r="47" spans="1:16" ht="90" customHeight="1">
      <c r="A47" s="14" t="s">
        <v>158</v>
      </c>
      <c r="B47" s="15" t="s">
        <v>20</v>
      </c>
      <c r="C47" s="15" t="s">
        <v>159</v>
      </c>
      <c r="D47" s="15" t="s">
        <v>136</v>
      </c>
      <c r="E47" s="15" t="s">
        <v>54</v>
      </c>
      <c r="F47" s="15" t="s">
        <v>55</v>
      </c>
      <c r="G47" s="15" t="s">
        <v>56</v>
      </c>
      <c r="H47" s="15" t="s">
        <v>159</v>
      </c>
      <c r="I47" s="15" t="s">
        <v>160</v>
      </c>
      <c r="J47" s="14" t="s">
        <v>18</v>
      </c>
      <c r="K47" s="14" t="s">
        <v>17</v>
      </c>
      <c r="L47" s="14" t="s">
        <v>58</v>
      </c>
      <c r="M47" s="14"/>
      <c r="N47" s="15" t="s">
        <v>59</v>
      </c>
      <c r="O47" s="15" t="s">
        <v>4</v>
      </c>
      <c r="P47" s="16">
        <v>46320</v>
      </c>
    </row>
    <row r="48" spans="1:16" ht="90" customHeight="1">
      <c r="A48" s="14" t="s">
        <v>161</v>
      </c>
      <c r="B48" s="15" t="s">
        <v>20</v>
      </c>
      <c r="C48" s="15" t="s">
        <v>162</v>
      </c>
      <c r="D48" s="15" t="s">
        <v>163</v>
      </c>
      <c r="E48" s="15" t="s">
        <v>54</v>
      </c>
      <c r="F48" s="15" t="s">
        <v>55</v>
      </c>
      <c r="G48" s="15" t="s">
        <v>56</v>
      </c>
      <c r="H48" s="15" t="s">
        <v>162</v>
      </c>
      <c r="I48" s="15" t="s">
        <v>57</v>
      </c>
      <c r="J48" s="14" t="s">
        <v>14</v>
      </c>
      <c r="K48" s="14" t="s">
        <v>14</v>
      </c>
      <c r="L48" s="14" t="s">
        <v>58</v>
      </c>
      <c r="M48" s="14"/>
      <c r="N48" s="15" t="s">
        <v>59</v>
      </c>
      <c r="O48" s="15" t="s">
        <v>4</v>
      </c>
      <c r="P48" s="16">
        <v>46320</v>
      </c>
    </row>
    <row r="49" spans="1:16" ht="90" customHeight="1">
      <c r="A49" s="14" t="s">
        <v>164</v>
      </c>
      <c r="B49" s="15" t="s">
        <v>20</v>
      </c>
      <c r="C49" s="15" t="s">
        <v>165</v>
      </c>
      <c r="D49" s="15" t="s">
        <v>163</v>
      </c>
      <c r="E49" s="15" t="s">
        <v>54</v>
      </c>
      <c r="F49" s="15" t="s">
        <v>55</v>
      </c>
      <c r="G49" s="15" t="s">
        <v>56</v>
      </c>
      <c r="H49" s="15" t="s">
        <v>165</v>
      </c>
      <c r="I49" s="15" t="s">
        <v>57</v>
      </c>
      <c r="J49" s="14" t="s">
        <v>14</v>
      </c>
      <c r="K49" s="14" t="s">
        <v>14</v>
      </c>
      <c r="L49" s="14" t="s">
        <v>58</v>
      </c>
      <c r="M49" s="14"/>
      <c r="N49" s="15" t="s">
        <v>59</v>
      </c>
      <c r="O49" s="15" t="s">
        <v>4</v>
      </c>
      <c r="P49" s="16">
        <v>46320</v>
      </c>
    </row>
    <row r="50" spans="1:16" ht="90" customHeight="1">
      <c r="A50" s="14" t="s">
        <v>166</v>
      </c>
      <c r="B50" s="15" t="s">
        <v>20</v>
      </c>
      <c r="C50" s="15" t="s">
        <v>167</v>
      </c>
      <c r="D50" s="15" t="s">
        <v>163</v>
      </c>
      <c r="E50" s="15" t="s">
        <v>54</v>
      </c>
      <c r="F50" s="15" t="s">
        <v>55</v>
      </c>
      <c r="G50" s="15" t="s">
        <v>56</v>
      </c>
      <c r="H50" s="15" t="s">
        <v>167</v>
      </c>
      <c r="I50" s="15" t="s">
        <v>57</v>
      </c>
      <c r="J50" s="14" t="s">
        <v>14</v>
      </c>
      <c r="K50" s="14" t="s">
        <v>14</v>
      </c>
      <c r="L50" s="14" t="s">
        <v>58</v>
      </c>
      <c r="M50" s="14"/>
      <c r="N50" s="15" t="s">
        <v>59</v>
      </c>
      <c r="O50" s="15" t="s">
        <v>4</v>
      </c>
      <c r="P50" s="16">
        <v>46320</v>
      </c>
    </row>
    <row r="51" spans="1:16" ht="90" customHeight="1">
      <c r="A51" s="14" t="s">
        <v>168</v>
      </c>
      <c r="B51" s="15" t="s">
        <v>20</v>
      </c>
      <c r="C51" s="15" t="s">
        <v>169</v>
      </c>
      <c r="D51" s="15" t="s">
        <v>170</v>
      </c>
      <c r="E51" s="15" t="s">
        <v>54</v>
      </c>
      <c r="F51" s="15" t="s">
        <v>55</v>
      </c>
      <c r="G51" s="15" t="s">
        <v>56</v>
      </c>
      <c r="H51" s="15" t="s">
        <v>169</v>
      </c>
      <c r="I51" s="15" t="s">
        <v>57</v>
      </c>
      <c r="J51" s="14" t="s">
        <v>14</v>
      </c>
      <c r="K51" s="14" t="s">
        <v>14</v>
      </c>
      <c r="L51" s="14" t="s">
        <v>58</v>
      </c>
      <c r="M51" s="14"/>
      <c r="N51" s="15" t="s">
        <v>59</v>
      </c>
      <c r="O51" s="15" t="s">
        <v>4</v>
      </c>
      <c r="P51" s="16">
        <v>46320</v>
      </c>
    </row>
    <row r="52" spans="1:16" ht="90" customHeight="1">
      <c r="A52" s="14" t="s">
        <v>171</v>
      </c>
      <c r="B52" s="15" t="s">
        <v>20</v>
      </c>
      <c r="C52" s="15" t="s">
        <v>172</v>
      </c>
      <c r="D52" s="15" t="s">
        <v>170</v>
      </c>
      <c r="E52" s="15" t="s">
        <v>54</v>
      </c>
      <c r="F52" s="15" t="s">
        <v>55</v>
      </c>
      <c r="G52" s="15" t="s">
        <v>56</v>
      </c>
      <c r="H52" s="15" t="s">
        <v>172</v>
      </c>
      <c r="I52" s="15" t="s">
        <v>57</v>
      </c>
      <c r="J52" s="14" t="s">
        <v>14</v>
      </c>
      <c r="K52" s="14" t="s">
        <v>14</v>
      </c>
      <c r="L52" s="14" t="s">
        <v>58</v>
      </c>
      <c r="M52" s="14"/>
      <c r="N52" s="15" t="s">
        <v>59</v>
      </c>
      <c r="O52" s="15" t="s">
        <v>4</v>
      </c>
      <c r="P52" s="16">
        <v>46320</v>
      </c>
    </row>
    <row r="53" spans="1:16" ht="90" customHeight="1">
      <c r="A53" s="14" t="s">
        <v>173</v>
      </c>
      <c r="B53" s="15" t="s">
        <v>20</v>
      </c>
      <c r="C53" s="15" t="s">
        <v>174</v>
      </c>
      <c r="D53" s="15" t="s">
        <v>170</v>
      </c>
      <c r="E53" s="15" t="s">
        <v>54</v>
      </c>
      <c r="F53" s="15" t="s">
        <v>55</v>
      </c>
      <c r="G53" s="15" t="s">
        <v>56</v>
      </c>
      <c r="H53" s="15" t="s">
        <v>174</v>
      </c>
      <c r="I53" s="15" t="s">
        <v>57</v>
      </c>
      <c r="J53" s="14" t="s">
        <v>14</v>
      </c>
      <c r="K53" s="14" t="s">
        <v>14</v>
      </c>
      <c r="L53" s="14" t="s">
        <v>58</v>
      </c>
      <c r="M53" s="14"/>
      <c r="N53" s="15" t="s">
        <v>59</v>
      </c>
      <c r="O53" s="15" t="s">
        <v>4</v>
      </c>
      <c r="P53" s="16">
        <v>46320</v>
      </c>
    </row>
    <row r="54" spans="1:16" ht="90" customHeight="1">
      <c r="A54" s="14" t="s">
        <v>175</v>
      </c>
      <c r="B54" s="15" t="s">
        <v>20</v>
      </c>
      <c r="C54" s="15" t="s">
        <v>176</v>
      </c>
      <c r="D54" s="15" t="s">
        <v>177</v>
      </c>
      <c r="E54" s="15" t="s">
        <v>54</v>
      </c>
      <c r="F54" s="15" t="s">
        <v>55</v>
      </c>
      <c r="G54" s="15" t="s">
        <v>56</v>
      </c>
      <c r="H54" s="15" t="s">
        <v>176</v>
      </c>
      <c r="I54" s="15" t="s">
        <v>57</v>
      </c>
      <c r="J54" s="14" t="s">
        <v>14</v>
      </c>
      <c r="K54" s="14" t="s">
        <v>14</v>
      </c>
      <c r="L54" s="14" t="s">
        <v>58</v>
      </c>
      <c r="M54" s="14"/>
      <c r="N54" s="15" t="s">
        <v>59</v>
      </c>
      <c r="O54" s="15" t="s">
        <v>4</v>
      </c>
      <c r="P54" s="16">
        <v>46320</v>
      </c>
    </row>
    <row r="55" spans="1:16" ht="90" customHeight="1">
      <c r="A55" s="14" t="s">
        <v>178</v>
      </c>
      <c r="B55" s="15" t="s">
        <v>20</v>
      </c>
      <c r="C55" s="15" t="s">
        <v>179</v>
      </c>
      <c r="D55" s="15" t="s">
        <v>177</v>
      </c>
      <c r="E55" s="15" t="s">
        <v>54</v>
      </c>
      <c r="F55" s="15" t="s">
        <v>55</v>
      </c>
      <c r="G55" s="15" t="s">
        <v>56</v>
      </c>
      <c r="H55" s="15" t="s">
        <v>179</v>
      </c>
      <c r="I55" s="15" t="s">
        <v>57</v>
      </c>
      <c r="J55" s="14" t="s">
        <v>14</v>
      </c>
      <c r="K55" s="14" t="s">
        <v>14</v>
      </c>
      <c r="L55" s="14" t="s">
        <v>58</v>
      </c>
      <c r="M55" s="14"/>
      <c r="N55" s="15" t="s">
        <v>59</v>
      </c>
      <c r="O55" s="15" t="s">
        <v>4</v>
      </c>
      <c r="P55" s="16">
        <v>46320</v>
      </c>
    </row>
    <row r="56" spans="1:16" ht="90" customHeight="1">
      <c r="A56" s="14" t="s">
        <v>180</v>
      </c>
      <c r="B56" s="15" t="s">
        <v>20</v>
      </c>
      <c r="C56" s="15" t="s">
        <v>181</v>
      </c>
      <c r="D56" s="15" t="s">
        <v>182</v>
      </c>
      <c r="E56" s="15" t="s">
        <v>54</v>
      </c>
      <c r="F56" s="15" t="s">
        <v>55</v>
      </c>
      <c r="G56" s="15" t="s">
        <v>56</v>
      </c>
      <c r="H56" s="15" t="s">
        <v>181</v>
      </c>
      <c r="I56" s="15" t="s">
        <v>57</v>
      </c>
      <c r="J56" s="14" t="s">
        <v>14</v>
      </c>
      <c r="K56" s="14" t="s">
        <v>14</v>
      </c>
      <c r="L56" s="14" t="s">
        <v>58</v>
      </c>
      <c r="M56" s="14"/>
      <c r="N56" s="15" t="s">
        <v>59</v>
      </c>
      <c r="O56" s="15" t="s">
        <v>4</v>
      </c>
      <c r="P56" s="16">
        <v>46320</v>
      </c>
    </row>
    <row r="57" spans="1:16" ht="90" customHeight="1">
      <c r="A57" s="14" t="s">
        <v>183</v>
      </c>
      <c r="B57" s="15" t="s">
        <v>20</v>
      </c>
      <c r="C57" s="15" t="s">
        <v>184</v>
      </c>
      <c r="D57" s="15" t="s">
        <v>182</v>
      </c>
      <c r="E57" s="15" t="s">
        <v>54</v>
      </c>
      <c r="F57" s="15" t="s">
        <v>55</v>
      </c>
      <c r="G57" s="15" t="s">
        <v>56</v>
      </c>
      <c r="H57" s="15" t="s">
        <v>184</v>
      </c>
      <c r="I57" s="15" t="s">
        <v>57</v>
      </c>
      <c r="J57" s="14" t="s">
        <v>14</v>
      </c>
      <c r="K57" s="14" t="s">
        <v>14</v>
      </c>
      <c r="L57" s="14" t="s">
        <v>58</v>
      </c>
      <c r="M57" s="14"/>
      <c r="N57" s="15" t="s">
        <v>59</v>
      </c>
      <c r="O57" s="15" t="s">
        <v>4</v>
      </c>
      <c r="P57" s="16">
        <v>46320</v>
      </c>
    </row>
    <row r="58" spans="1:16" ht="90" customHeight="1">
      <c r="A58" s="14" t="s">
        <v>185</v>
      </c>
      <c r="B58" s="15" t="s">
        <v>20</v>
      </c>
      <c r="C58" s="15" t="s">
        <v>186</v>
      </c>
      <c r="D58" s="15" t="s">
        <v>182</v>
      </c>
      <c r="E58" s="15" t="s">
        <v>54</v>
      </c>
      <c r="F58" s="15" t="s">
        <v>55</v>
      </c>
      <c r="G58" s="15" t="s">
        <v>56</v>
      </c>
      <c r="H58" s="15" t="s">
        <v>186</v>
      </c>
      <c r="I58" s="15" t="s">
        <v>57</v>
      </c>
      <c r="J58" s="14" t="s">
        <v>14</v>
      </c>
      <c r="K58" s="14" t="s">
        <v>14</v>
      </c>
      <c r="L58" s="14" t="s">
        <v>58</v>
      </c>
      <c r="M58" s="14"/>
      <c r="N58" s="15" t="s">
        <v>59</v>
      </c>
      <c r="O58" s="15" t="s">
        <v>4</v>
      </c>
      <c r="P58" s="16">
        <v>46320</v>
      </c>
    </row>
    <row r="59" spans="1:16" ht="90" customHeight="1">
      <c r="A59" s="14" t="s">
        <v>187</v>
      </c>
      <c r="B59" s="15" t="s">
        <v>20</v>
      </c>
      <c r="C59" s="15" t="s">
        <v>188</v>
      </c>
      <c r="D59" s="15" t="s">
        <v>182</v>
      </c>
      <c r="E59" s="15" t="s">
        <v>54</v>
      </c>
      <c r="F59" s="15" t="s">
        <v>55</v>
      </c>
      <c r="G59" s="15" t="s">
        <v>56</v>
      </c>
      <c r="H59" s="15" t="s">
        <v>188</v>
      </c>
      <c r="I59" s="15" t="s">
        <v>57</v>
      </c>
      <c r="J59" s="14" t="s">
        <v>14</v>
      </c>
      <c r="K59" s="14" t="s">
        <v>14</v>
      </c>
      <c r="L59" s="14" t="s">
        <v>58</v>
      </c>
      <c r="M59" s="14"/>
      <c r="N59" s="15" t="s">
        <v>59</v>
      </c>
      <c r="O59" s="15" t="s">
        <v>4</v>
      </c>
      <c r="P59" s="16">
        <v>46320</v>
      </c>
    </row>
    <row r="60" spans="1:16" ht="90" customHeight="1">
      <c r="A60" s="14" t="s">
        <v>189</v>
      </c>
      <c r="B60" s="15" t="s">
        <v>20</v>
      </c>
      <c r="C60" s="15" t="s">
        <v>190</v>
      </c>
      <c r="D60" s="15" t="s">
        <v>182</v>
      </c>
      <c r="E60" s="15" t="s">
        <v>54</v>
      </c>
      <c r="F60" s="15" t="s">
        <v>55</v>
      </c>
      <c r="G60" s="15" t="s">
        <v>56</v>
      </c>
      <c r="H60" s="15" t="s">
        <v>190</v>
      </c>
      <c r="I60" s="15" t="s">
        <v>57</v>
      </c>
      <c r="J60" s="14" t="s">
        <v>14</v>
      </c>
      <c r="K60" s="14" t="s">
        <v>14</v>
      </c>
      <c r="L60" s="14" t="s">
        <v>58</v>
      </c>
      <c r="M60" s="14"/>
      <c r="N60" s="15" t="s">
        <v>59</v>
      </c>
      <c r="O60" s="15" t="s">
        <v>4</v>
      </c>
      <c r="P60" s="16">
        <v>46320</v>
      </c>
    </row>
    <row r="61" spans="1:16" ht="90" customHeight="1">
      <c r="A61" s="14" t="s">
        <v>191</v>
      </c>
      <c r="B61" s="15" t="s">
        <v>20</v>
      </c>
      <c r="C61" s="15" t="s">
        <v>192</v>
      </c>
      <c r="D61" s="15" t="s">
        <v>182</v>
      </c>
      <c r="E61" s="15" t="s">
        <v>54</v>
      </c>
      <c r="F61" s="15" t="s">
        <v>55</v>
      </c>
      <c r="G61" s="15" t="s">
        <v>56</v>
      </c>
      <c r="H61" s="15" t="s">
        <v>192</v>
      </c>
      <c r="I61" s="15" t="s">
        <v>57</v>
      </c>
      <c r="J61" s="14" t="s">
        <v>14</v>
      </c>
      <c r="K61" s="14" t="s">
        <v>14</v>
      </c>
      <c r="L61" s="14" t="s">
        <v>58</v>
      </c>
      <c r="M61" s="14"/>
      <c r="N61" s="15" t="s">
        <v>59</v>
      </c>
      <c r="O61" s="15" t="s">
        <v>4</v>
      </c>
      <c r="P61" s="16">
        <v>46320</v>
      </c>
    </row>
    <row r="62" spans="1:16" ht="90" customHeight="1">
      <c r="A62" s="14" t="s">
        <v>193</v>
      </c>
      <c r="B62" s="15" t="s">
        <v>20</v>
      </c>
      <c r="C62" s="15" t="s">
        <v>194</v>
      </c>
      <c r="D62" s="15" t="s">
        <v>182</v>
      </c>
      <c r="E62" s="15" t="s">
        <v>54</v>
      </c>
      <c r="F62" s="15" t="s">
        <v>55</v>
      </c>
      <c r="G62" s="15" t="s">
        <v>56</v>
      </c>
      <c r="H62" s="15" t="s">
        <v>194</v>
      </c>
      <c r="I62" s="15" t="s">
        <v>57</v>
      </c>
      <c r="J62" s="14" t="s">
        <v>14</v>
      </c>
      <c r="K62" s="14" t="s">
        <v>14</v>
      </c>
      <c r="L62" s="14" t="s">
        <v>58</v>
      </c>
      <c r="M62" s="14"/>
      <c r="N62" s="15" t="s">
        <v>59</v>
      </c>
      <c r="O62" s="15" t="s">
        <v>4</v>
      </c>
      <c r="P62" s="16">
        <v>46320</v>
      </c>
    </row>
    <row r="63" spans="1:16" ht="90" customHeight="1">
      <c r="A63" s="14" t="s">
        <v>195</v>
      </c>
      <c r="B63" s="15" t="s">
        <v>20</v>
      </c>
      <c r="C63" s="15" t="s">
        <v>196</v>
      </c>
      <c r="D63" s="15" t="s">
        <v>182</v>
      </c>
      <c r="E63" s="15" t="s">
        <v>54</v>
      </c>
      <c r="F63" s="15" t="s">
        <v>55</v>
      </c>
      <c r="G63" s="15" t="s">
        <v>56</v>
      </c>
      <c r="H63" s="15" t="s">
        <v>196</v>
      </c>
      <c r="I63" s="15" t="s">
        <v>57</v>
      </c>
      <c r="J63" s="14" t="s">
        <v>14</v>
      </c>
      <c r="K63" s="14" t="s">
        <v>14</v>
      </c>
      <c r="L63" s="14" t="s">
        <v>58</v>
      </c>
      <c r="M63" s="14"/>
      <c r="N63" s="15" t="s">
        <v>59</v>
      </c>
      <c r="O63" s="15" t="s">
        <v>4</v>
      </c>
      <c r="P63" s="16">
        <v>46320</v>
      </c>
    </row>
    <row r="64" spans="1:16" ht="90" customHeight="1">
      <c r="A64" s="14" t="s">
        <v>197</v>
      </c>
      <c r="B64" s="15" t="s">
        <v>20</v>
      </c>
      <c r="C64" s="15" t="s">
        <v>198</v>
      </c>
      <c r="D64" s="15" t="s">
        <v>182</v>
      </c>
      <c r="E64" s="15" t="s">
        <v>54</v>
      </c>
      <c r="F64" s="15" t="s">
        <v>55</v>
      </c>
      <c r="G64" s="15" t="s">
        <v>56</v>
      </c>
      <c r="H64" s="15" t="s">
        <v>198</v>
      </c>
      <c r="I64" s="15" t="s">
        <v>57</v>
      </c>
      <c r="J64" s="14" t="s">
        <v>14</v>
      </c>
      <c r="K64" s="14" t="s">
        <v>14</v>
      </c>
      <c r="L64" s="14" t="s">
        <v>58</v>
      </c>
      <c r="M64" s="14"/>
      <c r="N64" s="15" t="s">
        <v>59</v>
      </c>
      <c r="O64" s="15" t="s">
        <v>4</v>
      </c>
      <c r="P64" s="16">
        <v>46320</v>
      </c>
    </row>
    <row r="65" spans="1:16" ht="90" customHeight="1">
      <c r="A65" s="14" t="s">
        <v>199</v>
      </c>
      <c r="B65" s="15" t="s">
        <v>20</v>
      </c>
      <c r="C65" s="15" t="s">
        <v>200</v>
      </c>
      <c r="D65" s="15" t="s">
        <v>182</v>
      </c>
      <c r="E65" s="15" t="s">
        <v>54</v>
      </c>
      <c r="F65" s="15" t="s">
        <v>55</v>
      </c>
      <c r="G65" s="15" t="s">
        <v>56</v>
      </c>
      <c r="H65" s="15" t="s">
        <v>200</v>
      </c>
      <c r="I65" s="15" t="s">
        <v>57</v>
      </c>
      <c r="J65" s="14" t="s">
        <v>14</v>
      </c>
      <c r="K65" s="14" t="s">
        <v>14</v>
      </c>
      <c r="L65" s="14" t="s">
        <v>58</v>
      </c>
      <c r="M65" s="14"/>
      <c r="N65" s="15" t="s">
        <v>59</v>
      </c>
      <c r="O65" s="15" t="s">
        <v>4</v>
      </c>
      <c r="P65" s="16">
        <v>46320</v>
      </c>
    </row>
    <row r="66" spans="1:16" ht="90" customHeight="1">
      <c r="A66" s="14" t="s">
        <v>201</v>
      </c>
      <c r="B66" s="15" t="s">
        <v>20</v>
      </c>
      <c r="C66" s="15" t="s">
        <v>202</v>
      </c>
      <c r="D66" s="15" t="s">
        <v>182</v>
      </c>
      <c r="E66" s="15" t="s">
        <v>54</v>
      </c>
      <c r="F66" s="15" t="s">
        <v>55</v>
      </c>
      <c r="G66" s="15" t="s">
        <v>56</v>
      </c>
      <c r="H66" s="15" t="s">
        <v>202</v>
      </c>
      <c r="I66" s="15" t="s">
        <v>57</v>
      </c>
      <c r="J66" s="14" t="s">
        <v>14</v>
      </c>
      <c r="K66" s="14" t="s">
        <v>14</v>
      </c>
      <c r="L66" s="14" t="s">
        <v>58</v>
      </c>
      <c r="M66" s="14"/>
      <c r="N66" s="15" t="s">
        <v>59</v>
      </c>
      <c r="O66" s="15" t="s">
        <v>4</v>
      </c>
      <c r="P66" s="16">
        <v>46320</v>
      </c>
    </row>
    <row r="67" spans="1:16" ht="90" customHeight="1">
      <c r="A67" s="14" t="s">
        <v>203</v>
      </c>
      <c r="B67" s="15" t="s">
        <v>20</v>
      </c>
      <c r="C67" s="15" t="s">
        <v>204</v>
      </c>
      <c r="D67" s="15" t="s">
        <v>182</v>
      </c>
      <c r="E67" s="15" t="s">
        <v>54</v>
      </c>
      <c r="F67" s="15" t="s">
        <v>55</v>
      </c>
      <c r="G67" s="15" t="s">
        <v>56</v>
      </c>
      <c r="H67" s="15" t="s">
        <v>204</v>
      </c>
      <c r="I67" s="15" t="s">
        <v>57</v>
      </c>
      <c r="J67" s="14" t="s">
        <v>14</v>
      </c>
      <c r="K67" s="14" t="s">
        <v>14</v>
      </c>
      <c r="L67" s="14" t="s">
        <v>58</v>
      </c>
      <c r="M67" s="14"/>
      <c r="N67" s="15" t="s">
        <v>59</v>
      </c>
      <c r="O67" s="15" t="s">
        <v>4</v>
      </c>
      <c r="P67" s="16">
        <v>46320</v>
      </c>
    </row>
    <row r="68" spans="1:16" ht="90" customHeight="1">
      <c r="A68" s="14" t="s">
        <v>205</v>
      </c>
      <c r="B68" s="15" t="s">
        <v>20</v>
      </c>
      <c r="C68" s="15" t="s">
        <v>206</v>
      </c>
      <c r="D68" s="15" t="s">
        <v>182</v>
      </c>
      <c r="E68" s="15" t="s">
        <v>54</v>
      </c>
      <c r="F68" s="15" t="s">
        <v>55</v>
      </c>
      <c r="G68" s="15" t="s">
        <v>56</v>
      </c>
      <c r="H68" s="15" t="s">
        <v>206</v>
      </c>
      <c r="I68" s="15" t="s">
        <v>57</v>
      </c>
      <c r="J68" s="14" t="s">
        <v>14</v>
      </c>
      <c r="K68" s="14" t="s">
        <v>14</v>
      </c>
      <c r="L68" s="14" t="s">
        <v>58</v>
      </c>
      <c r="M68" s="14"/>
      <c r="N68" s="15" t="s">
        <v>59</v>
      </c>
      <c r="O68" s="15" t="s">
        <v>4</v>
      </c>
      <c r="P68" s="16">
        <v>46320</v>
      </c>
    </row>
    <row r="69" spans="1:16" ht="90" customHeight="1">
      <c r="A69" s="14" t="s">
        <v>207</v>
      </c>
      <c r="B69" s="15" t="s">
        <v>20</v>
      </c>
      <c r="C69" s="15" t="s">
        <v>208</v>
      </c>
      <c r="D69" s="15" t="s">
        <v>182</v>
      </c>
      <c r="E69" s="15" t="s">
        <v>54</v>
      </c>
      <c r="F69" s="15" t="s">
        <v>55</v>
      </c>
      <c r="G69" s="15" t="s">
        <v>56</v>
      </c>
      <c r="H69" s="15" t="s">
        <v>208</v>
      </c>
      <c r="I69" s="15" t="s">
        <v>57</v>
      </c>
      <c r="J69" s="14" t="s">
        <v>14</v>
      </c>
      <c r="K69" s="14" t="s">
        <v>14</v>
      </c>
      <c r="L69" s="14" t="s">
        <v>58</v>
      </c>
      <c r="M69" s="14"/>
      <c r="N69" s="15" t="s">
        <v>59</v>
      </c>
      <c r="O69" s="15" t="s">
        <v>4</v>
      </c>
      <c r="P69" s="16">
        <v>46320</v>
      </c>
    </row>
    <row r="70" spans="1:16" ht="90" customHeight="1">
      <c r="A70" s="14" t="s">
        <v>209</v>
      </c>
      <c r="B70" s="15" t="s">
        <v>20</v>
      </c>
      <c r="C70" s="15" t="s">
        <v>210</v>
      </c>
      <c r="D70" s="15" t="s">
        <v>182</v>
      </c>
      <c r="E70" s="15" t="s">
        <v>54</v>
      </c>
      <c r="F70" s="15" t="s">
        <v>55</v>
      </c>
      <c r="G70" s="15" t="s">
        <v>56</v>
      </c>
      <c r="H70" s="15" t="s">
        <v>210</v>
      </c>
      <c r="I70" s="15" t="s">
        <v>57</v>
      </c>
      <c r="J70" s="14" t="s">
        <v>14</v>
      </c>
      <c r="K70" s="14" t="s">
        <v>14</v>
      </c>
      <c r="L70" s="14" t="s">
        <v>58</v>
      </c>
      <c r="M70" s="14"/>
      <c r="N70" s="15" t="s">
        <v>59</v>
      </c>
      <c r="O70" s="15" t="s">
        <v>4</v>
      </c>
      <c r="P70" s="16">
        <v>46320</v>
      </c>
    </row>
    <row r="71" spans="1:16" ht="90" customHeight="1">
      <c r="A71" s="14" t="s">
        <v>211</v>
      </c>
      <c r="B71" s="15" t="s">
        <v>20</v>
      </c>
      <c r="C71" s="15" t="s">
        <v>212</v>
      </c>
      <c r="D71" s="15" t="s">
        <v>182</v>
      </c>
      <c r="E71" s="15" t="s">
        <v>54</v>
      </c>
      <c r="F71" s="15" t="s">
        <v>55</v>
      </c>
      <c r="G71" s="15" t="s">
        <v>56</v>
      </c>
      <c r="H71" s="15" t="s">
        <v>212</v>
      </c>
      <c r="I71" s="15" t="s">
        <v>57</v>
      </c>
      <c r="J71" s="14" t="s">
        <v>14</v>
      </c>
      <c r="K71" s="14" t="s">
        <v>14</v>
      </c>
      <c r="L71" s="14" t="s">
        <v>58</v>
      </c>
      <c r="M71" s="14"/>
      <c r="N71" s="15" t="s">
        <v>59</v>
      </c>
      <c r="O71" s="15" t="s">
        <v>4</v>
      </c>
      <c r="P71" s="16">
        <v>46320</v>
      </c>
    </row>
    <row r="72" spans="1:16" ht="90" customHeight="1">
      <c r="A72" s="14" t="s">
        <v>213</v>
      </c>
      <c r="B72" s="15" t="s">
        <v>20</v>
      </c>
      <c r="C72" s="15" t="s">
        <v>214</v>
      </c>
      <c r="D72" s="15" t="s">
        <v>182</v>
      </c>
      <c r="E72" s="15" t="s">
        <v>54</v>
      </c>
      <c r="F72" s="15" t="s">
        <v>55</v>
      </c>
      <c r="G72" s="15" t="s">
        <v>56</v>
      </c>
      <c r="H72" s="15" t="s">
        <v>214</v>
      </c>
      <c r="I72" s="15" t="s">
        <v>57</v>
      </c>
      <c r="J72" s="14" t="s">
        <v>14</v>
      </c>
      <c r="K72" s="14" t="s">
        <v>14</v>
      </c>
      <c r="L72" s="14" t="s">
        <v>58</v>
      </c>
      <c r="M72" s="14"/>
      <c r="N72" s="15" t="s">
        <v>59</v>
      </c>
      <c r="O72" s="15" t="s">
        <v>4</v>
      </c>
      <c r="P72" s="16">
        <v>46320</v>
      </c>
    </row>
    <row r="73" spans="1:16" ht="90" customHeight="1">
      <c r="A73" s="14" t="s">
        <v>215</v>
      </c>
      <c r="B73" s="15" t="s">
        <v>20</v>
      </c>
      <c r="C73" s="15" t="s">
        <v>216</v>
      </c>
      <c r="D73" s="15" t="s">
        <v>182</v>
      </c>
      <c r="E73" s="15" t="s">
        <v>54</v>
      </c>
      <c r="F73" s="15" t="s">
        <v>55</v>
      </c>
      <c r="G73" s="15" t="s">
        <v>56</v>
      </c>
      <c r="H73" s="15" t="s">
        <v>216</v>
      </c>
      <c r="I73" s="15" t="s">
        <v>57</v>
      </c>
      <c r="J73" s="14" t="s">
        <v>14</v>
      </c>
      <c r="K73" s="14" t="s">
        <v>14</v>
      </c>
      <c r="L73" s="14" t="s">
        <v>58</v>
      </c>
      <c r="M73" s="14"/>
      <c r="N73" s="15" t="s">
        <v>59</v>
      </c>
      <c r="O73" s="15" t="s">
        <v>4</v>
      </c>
      <c r="P73" s="16">
        <v>46320</v>
      </c>
    </row>
    <row r="74" spans="1:16" ht="90" customHeight="1">
      <c r="A74" s="14" t="s">
        <v>217</v>
      </c>
      <c r="B74" s="15" t="s">
        <v>20</v>
      </c>
      <c r="C74" s="15" t="s">
        <v>218</v>
      </c>
      <c r="D74" s="15" t="s">
        <v>182</v>
      </c>
      <c r="E74" s="15" t="s">
        <v>54</v>
      </c>
      <c r="F74" s="15" t="s">
        <v>55</v>
      </c>
      <c r="G74" s="15" t="s">
        <v>56</v>
      </c>
      <c r="H74" s="15" t="s">
        <v>218</v>
      </c>
      <c r="I74" s="15" t="s">
        <v>57</v>
      </c>
      <c r="J74" s="14" t="s">
        <v>14</v>
      </c>
      <c r="K74" s="14" t="s">
        <v>14</v>
      </c>
      <c r="L74" s="14" t="s">
        <v>58</v>
      </c>
      <c r="M74" s="14"/>
      <c r="N74" s="15" t="s">
        <v>59</v>
      </c>
      <c r="O74" s="15" t="s">
        <v>4</v>
      </c>
      <c r="P74" s="16">
        <v>46320</v>
      </c>
    </row>
    <row r="75" spans="1:16" ht="90" customHeight="1">
      <c r="A75" s="14" t="s">
        <v>219</v>
      </c>
      <c r="B75" s="15" t="s">
        <v>20</v>
      </c>
      <c r="C75" s="15" t="s">
        <v>220</v>
      </c>
      <c r="D75" s="15" t="s">
        <v>182</v>
      </c>
      <c r="E75" s="15" t="s">
        <v>54</v>
      </c>
      <c r="F75" s="15" t="s">
        <v>55</v>
      </c>
      <c r="G75" s="15" t="s">
        <v>56</v>
      </c>
      <c r="H75" s="15" t="s">
        <v>220</v>
      </c>
      <c r="I75" s="15" t="s">
        <v>57</v>
      </c>
      <c r="J75" s="14" t="s">
        <v>14</v>
      </c>
      <c r="K75" s="14" t="s">
        <v>14</v>
      </c>
      <c r="L75" s="14" t="s">
        <v>58</v>
      </c>
      <c r="M75" s="14"/>
      <c r="N75" s="15" t="s">
        <v>59</v>
      </c>
      <c r="O75" s="15" t="s">
        <v>4</v>
      </c>
      <c r="P75" s="16">
        <v>46320</v>
      </c>
    </row>
    <row r="76" spans="1:16" ht="90" customHeight="1">
      <c r="A76" s="14" t="s">
        <v>221</v>
      </c>
      <c r="B76" s="15" t="s">
        <v>20</v>
      </c>
      <c r="C76" s="15" t="s">
        <v>222</v>
      </c>
      <c r="D76" s="15" t="s">
        <v>182</v>
      </c>
      <c r="E76" s="15" t="s">
        <v>54</v>
      </c>
      <c r="F76" s="15" t="s">
        <v>55</v>
      </c>
      <c r="G76" s="15" t="s">
        <v>56</v>
      </c>
      <c r="H76" s="15" t="s">
        <v>222</v>
      </c>
      <c r="I76" s="15" t="s">
        <v>57</v>
      </c>
      <c r="J76" s="14" t="s">
        <v>14</v>
      </c>
      <c r="K76" s="14" t="s">
        <v>14</v>
      </c>
      <c r="L76" s="14" t="s">
        <v>58</v>
      </c>
      <c r="M76" s="14"/>
      <c r="N76" s="15" t="s">
        <v>59</v>
      </c>
      <c r="O76" s="15" t="s">
        <v>4</v>
      </c>
      <c r="P76" s="16">
        <v>46320</v>
      </c>
    </row>
    <row r="77" spans="1:16" ht="90" customHeight="1">
      <c r="A77" s="14" t="s">
        <v>223</v>
      </c>
      <c r="B77" s="15" t="s">
        <v>20</v>
      </c>
      <c r="C77" s="15" t="s">
        <v>224</v>
      </c>
      <c r="D77" s="15" t="s">
        <v>182</v>
      </c>
      <c r="E77" s="15" t="s">
        <v>54</v>
      </c>
      <c r="F77" s="15" t="s">
        <v>55</v>
      </c>
      <c r="G77" s="15" t="s">
        <v>56</v>
      </c>
      <c r="H77" s="15" t="s">
        <v>224</v>
      </c>
      <c r="I77" s="15" t="s">
        <v>57</v>
      </c>
      <c r="J77" s="14" t="s">
        <v>14</v>
      </c>
      <c r="K77" s="14" t="s">
        <v>14</v>
      </c>
      <c r="L77" s="14" t="s">
        <v>58</v>
      </c>
      <c r="M77" s="14"/>
      <c r="N77" s="15" t="s">
        <v>59</v>
      </c>
      <c r="O77" s="15" t="s">
        <v>4</v>
      </c>
      <c r="P77" s="16">
        <v>46320</v>
      </c>
    </row>
    <row r="78" spans="1:16" ht="90" customHeight="1">
      <c r="A78" s="14" t="s">
        <v>225</v>
      </c>
      <c r="B78" s="15" t="s">
        <v>20</v>
      </c>
      <c r="C78" s="15" t="s">
        <v>226</v>
      </c>
      <c r="D78" s="15" t="s">
        <v>182</v>
      </c>
      <c r="E78" s="15" t="s">
        <v>54</v>
      </c>
      <c r="F78" s="15" t="s">
        <v>55</v>
      </c>
      <c r="G78" s="15" t="s">
        <v>56</v>
      </c>
      <c r="H78" s="15" t="s">
        <v>226</v>
      </c>
      <c r="I78" s="15" t="s">
        <v>57</v>
      </c>
      <c r="J78" s="14" t="s">
        <v>14</v>
      </c>
      <c r="K78" s="14" t="s">
        <v>14</v>
      </c>
      <c r="L78" s="14" t="s">
        <v>58</v>
      </c>
      <c r="M78" s="14"/>
      <c r="N78" s="15" t="s">
        <v>59</v>
      </c>
      <c r="O78" s="15" t="s">
        <v>4</v>
      </c>
      <c r="P78" s="16">
        <v>46320</v>
      </c>
    </row>
    <row r="79" spans="1:16" ht="90" customHeight="1">
      <c r="A79" s="14" t="s">
        <v>227</v>
      </c>
      <c r="B79" s="15" t="s">
        <v>20</v>
      </c>
      <c r="C79" s="15" t="s">
        <v>228</v>
      </c>
      <c r="D79" s="15" t="s">
        <v>182</v>
      </c>
      <c r="E79" s="15" t="s">
        <v>54</v>
      </c>
      <c r="F79" s="15" t="s">
        <v>55</v>
      </c>
      <c r="G79" s="15" t="s">
        <v>56</v>
      </c>
      <c r="H79" s="15" t="s">
        <v>228</v>
      </c>
      <c r="I79" s="15" t="s">
        <v>57</v>
      </c>
      <c r="J79" s="14" t="s">
        <v>14</v>
      </c>
      <c r="K79" s="14" t="s">
        <v>14</v>
      </c>
      <c r="L79" s="14" t="s">
        <v>58</v>
      </c>
      <c r="M79" s="14"/>
      <c r="N79" s="15" t="s">
        <v>59</v>
      </c>
      <c r="O79" s="15" t="s">
        <v>4</v>
      </c>
      <c r="P79" s="16">
        <v>46320</v>
      </c>
    </row>
    <row r="80" spans="1:16" ht="90" customHeight="1">
      <c r="A80" s="14" t="s">
        <v>229</v>
      </c>
      <c r="B80" s="15" t="s">
        <v>20</v>
      </c>
      <c r="C80" s="15" t="s">
        <v>230</v>
      </c>
      <c r="D80" s="15" t="s">
        <v>182</v>
      </c>
      <c r="E80" s="15" t="s">
        <v>54</v>
      </c>
      <c r="F80" s="15" t="s">
        <v>55</v>
      </c>
      <c r="G80" s="15" t="s">
        <v>56</v>
      </c>
      <c r="H80" s="15" t="s">
        <v>230</v>
      </c>
      <c r="I80" s="15" t="s">
        <v>57</v>
      </c>
      <c r="J80" s="14" t="s">
        <v>14</v>
      </c>
      <c r="K80" s="14" t="s">
        <v>14</v>
      </c>
      <c r="L80" s="14" t="s">
        <v>58</v>
      </c>
      <c r="M80" s="14"/>
      <c r="N80" s="15" t="s">
        <v>59</v>
      </c>
      <c r="O80" s="15" t="s">
        <v>4</v>
      </c>
      <c r="P80" s="16">
        <v>46320</v>
      </c>
    </row>
    <row r="81" spans="1:16" ht="90" customHeight="1">
      <c r="A81" s="14" t="s">
        <v>231</v>
      </c>
      <c r="B81" s="15" t="s">
        <v>20</v>
      </c>
      <c r="C81" s="15" t="s">
        <v>232</v>
      </c>
      <c r="D81" s="15" t="s">
        <v>182</v>
      </c>
      <c r="E81" s="15" t="s">
        <v>54</v>
      </c>
      <c r="F81" s="15" t="s">
        <v>55</v>
      </c>
      <c r="G81" s="15" t="s">
        <v>56</v>
      </c>
      <c r="H81" s="15" t="s">
        <v>232</v>
      </c>
      <c r="I81" s="15" t="s">
        <v>57</v>
      </c>
      <c r="J81" s="14" t="s">
        <v>14</v>
      </c>
      <c r="K81" s="14" t="s">
        <v>14</v>
      </c>
      <c r="L81" s="14" t="s">
        <v>58</v>
      </c>
      <c r="M81" s="14"/>
      <c r="N81" s="15" t="s">
        <v>59</v>
      </c>
      <c r="O81" s="15" t="s">
        <v>4</v>
      </c>
      <c r="P81" s="16">
        <v>46320</v>
      </c>
    </row>
    <row r="82" spans="1:16" ht="90" customHeight="1">
      <c r="A82" s="14" t="s">
        <v>233</v>
      </c>
      <c r="B82" s="15" t="s">
        <v>20</v>
      </c>
      <c r="C82" s="15" t="s">
        <v>234</v>
      </c>
      <c r="D82" s="15" t="s">
        <v>182</v>
      </c>
      <c r="E82" s="15" t="s">
        <v>54</v>
      </c>
      <c r="F82" s="15" t="s">
        <v>55</v>
      </c>
      <c r="G82" s="15" t="s">
        <v>56</v>
      </c>
      <c r="H82" s="15" t="s">
        <v>234</v>
      </c>
      <c r="I82" s="15" t="s">
        <v>57</v>
      </c>
      <c r="J82" s="14" t="s">
        <v>14</v>
      </c>
      <c r="K82" s="14" t="s">
        <v>14</v>
      </c>
      <c r="L82" s="14" t="s">
        <v>58</v>
      </c>
      <c r="M82" s="14"/>
      <c r="N82" s="15" t="s">
        <v>59</v>
      </c>
      <c r="O82" s="15" t="s">
        <v>4</v>
      </c>
      <c r="P82" s="16">
        <v>46320</v>
      </c>
    </row>
    <row r="83" spans="1:16" ht="90" customHeight="1">
      <c r="A83" s="14" t="s">
        <v>235</v>
      </c>
      <c r="B83" s="15" t="s">
        <v>20</v>
      </c>
      <c r="C83" s="15" t="s">
        <v>236</v>
      </c>
      <c r="D83" s="15" t="s">
        <v>182</v>
      </c>
      <c r="E83" s="15" t="s">
        <v>54</v>
      </c>
      <c r="F83" s="15" t="s">
        <v>55</v>
      </c>
      <c r="G83" s="15" t="s">
        <v>56</v>
      </c>
      <c r="H83" s="15" t="s">
        <v>236</v>
      </c>
      <c r="I83" s="15" t="s">
        <v>57</v>
      </c>
      <c r="J83" s="14" t="s">
        <v>14</v>
      </c>
      <c r="K83" s="14" t="s">
        <v>14</v>
      </c>
      <c r="L83" s="14" t="s">
        <v>58</v>
      </c>
      <c r="M83" s="14"/>
      <c r="N83" s="15" t="s">
        <v>59</v>
      </c>
      <c r="O83" s="15" t="s">
        <v>4</v>
      </c>
      <c r="P83" s="16">
        <v>46320</v>
      </c>
    </row>
    <row r="84" spans="1:16" ht="90" customHeight="1">
      <c r="A84" s="14" t="s">
        <v>237</v>
      </c>
      <c r="B84" s="15" t="s">
        <v>20</v>
      </c>
      <c r="C84" s="15" t="s">
        <v>238</v>
      </c>
      <c r="D84" s="15" t="s">
        <v>182</v>
      </c>
      <c r="E84" s="15" t="s">
        <v>54</v>
      </c>
      <c r="F84" s="15" t="s">
        <v>55</v>
      </c>
      <c r="G84" s="15" t="s">
        <v>56</v>
      </c>
      <c r="H84" s="15" t="s">
        <v>238</v>
      </c>
      <c r="I84" s="15" t="s">
        <v>57</v>
      </c>
      <c r="J84" s="14" t="s">
        <v>14</v>
      </c>
      <c r="K84" s="14" t="s">
        <v>14</v>
      </c>
      <c r="L84" s="14" t="s">
        <v>58</v>
      </c>
      <c r="M84" s="14"/>
      <c r="N84" s="15" t="s">
        <v>59</v>
      </c>
      <c r="O84" s="15" t="s">
        <v>4</v>
      </c>
      <c r="P84" s="16">
        <v>46320</v>
      </c>
    </row>
    <row r="85" spans="1:16" ht="90" customHeight="1">
      <c r="A85" s="14" t="s">
        <v>239</v>
      </c>
      <c r="B85" s="15" t="s">
        <v>20</v>
      </c>
      <c r="C85" s="15" t="s">
        <v>240</v>
      </c>
      <c r="D85" s="15" t="s">
        <v>182</v>
      </c>
      <c r="E85" s="15" t="s">
        <v>54</v>
      </c>
      <c r="F85" s="15" t="s">
        <v>55</v>
      </c>
      <c r="G85" s="15" t="s">
        <v>56</v>
      </c>
      <c r="H85" s="15" t="s">
        <v>240</v>
      </c>
      <c r="I85" s="15" t="s">
        <v>57</v>
      </c>
      <c r="J85" s="14" t="s">
        <v>14</v>
      </c>
      <c r="K85" s="14" t="s">
        <v>14</v>
      </c>
      <c r="L85" s="14" t="s">
        <v>58</v>
      </c>
      <c r="M85" s="14"/>
      <c r="N85" s="15" t="s">
        <v>59</v>
      </c>
      <c r="O85" s="15" t="s">
        <v>4</v>
      </c>
      <c r="P85" s="16">
        <v>46320</v>
      </c>
    </row>
    <row r="86" spans="1:16" ht="90" customHeight="1">
      <c r="A86" s="14" t="s">
        <v>241</v>
      </c>
      <c r="B86" s="15" t="s">
        <v>20</v>
      </c>
      <c r="C86" s="15" t="s">
        <v>242</v>
      </c>
      <c r="D86" s="15" t="s">
        <v>182</v>
      </c>
      <c r="E86" s="15" t="s">
        <v>54</v>
      </c>
      <c r="F86" s="15" t="s">
        <v>55</v>
      </c>
      <c r="G86" s="15" t="s">
        <v>56</v>
      </c>
      <c r="H86" s="15" t="s">
        <v>242</v>
      </c>
      <c r="I86" s="15" t="s">
        <v>57</v>
      </c>
      <c r="J86" s="14" t="s">
        <v>14</v>
      </c>
      <c r="K86" s="14" t="s">
        <v>14</v>
      </c>
      <c r="L86" s="14" t="s">
        <v>58</v>
      </c>
      <c r="M86" s="14"/>
      <c r="N86" s="15" t="s">
        <v>59</v>
      </c>
      <c r="O86" s="15" t="s">
        <v>4</v>
      </c>
      <c r="P86" s="16">
        <v>46320</v>
      </c>
    </row>
    <row r="87" spans="1:16" ht="90" customHeight="1">
      <c r="A87" s="14" t="s">
        <v>243</v>
      </c>
      <c r="B87" s="15" t="s">
        <v>20</v>
      </c>
      <c r="C87" s="15" t="s">
        <v>244</v>
      </c>
      <c r="D87" s="15" t="s">
        <v>245</v>
      </c>
      <c r="E87" s="15" t="s">
        <v>54</v>
      </c>
      <c r="F87" s="15" t="s">
        <v>55</v>
      </c>
      <c r="G87" s="15" t="s">
        <v>56</v>
      </c>
      <c r="H87" s="15" t="s">
        <v>244</v>
      </c>
      <c r="I87" s="15" t="s">
        <v>57</v>
      </c>
      <c r="J87" s="14" t="s">
        <v>14</v>
      </c>
      <c r="K87" s="14" t="s">
        <v>14</v>
      </c>
      <c r="L87" s="14" t="s">
        <v>58</v>
      </c>
      <c r="M87" s="14"/>
      <c r="N87" s="15" t="s">
        <v>59</v>
      </c>
      <c r="O87" s="15" t="s">
        <v>4</v>
      </c>
      <c r="P87" s="16">
        <v>46320</v>
      </c>
    </row>
    <row r="88" spans="1:16" ht="90" customHeight="1">
      <c r="A88" s="14" t="s">
        <v>246</v>
      </c>
      <c r="B88" s="15" t="s">
        <v>20</v>
      </c>
      <c r="C88" s="15" t="s">
        <v>247</v>
      </c>
      <c r="D88" s="15" t="s">
        <v>245</v>
      </c>
      <c r="E88" s="15" t="s">
        <v>54</v>
      </c>
      <c r="F88" s="15" t="s">
        <v>55</v>
      </c>
      <c r="G88" s="15" t="s">
        <v>56</v>
      </c>
      <c r="H88" s="15" t="s">
        <v>247</v>
      </c>
      <c r="I88" s="15" t="s">
        <v>57</v>
      </c>
      <c r="J88" s="14" t="s">
        <v>14</v>
      </c>
      <c r="K88" s="14" t="s">
        <v>14</v>
      </c>
      <c r="L88" s="14" t="s">
        <v>58</v>
      </c>
      <c r="M88" s="14"/>
      <c r="N88" s="15" t="s">
        <v>59</v>
      </c>
      <c r="O88" s="15" t="s">
        <v>4</v>
      </c>
      <c r="P88" s="16">
        <v>46320</v>
      </c>
    </row>
    <row r="89" spans="1:16" ht="90" customHeight="1">
      <c r="A89" s="14" t="s">
        <v>248</v>
      </c>
      <c r="B89" s="15" t="s">
        <v>20</v>
      </c>
      <c r="C89" s="15" t="s">
        <v>249</v>
      </c>
      <c r="D89" s="15" t="s">
        <v>250</v>
      </c>
      <c r="E89" s="15" t="s">
        <v>54</v>
      </c>
      <c r="F89" s="15" t="s">
        <v>55</v>
      </c>
      <c r="G89" s="15" t="s">
        <v>56</v>
      </c>
      <c r="H89" s="15" t="s">
        <v>249</v>
      </c>
      <c r="I89" s="15" t="s">
        <v>57</v>
      </c>
      <c r="J89" s="14" t="s">
        <v>14</v>
      </c>
      <c r="K89" s="14" t="s">
        <v>14</v>
      </c>
      <c r="L89" s="14" t="s">
        <v>58</v>
      </c>
      <c r="M89" s="14"/>
      <c r="N89" s="15" t="s">
        <v>59</v>
      </c>
      <c r="O89" s="15" t="s">
        <v>4</v>
      </c>
      <c r="P89" s="16">
        <v>46320</v>
      </c>
    </row>
    <row r="90" spans="1:16" ht="90" customHeight="1">
      <c r="A90" s="14" t="s">
        <v>251</v>
      </c>
      <c r="B90" s="15" t="s">
        <v>20</v>
      </c>
      <c r="C90" s="15" t="s">
        <v>252</v>
      </c>
      <c r="D90" s="15" t="s">
        <v>250</v>
      </c>
      <c r="E90" s="15" t="s">
        <v>54</v>
      </c>
      <c r="F90" s="15" t="s">
        <v>55</v>
      </c>
      <c r="G90" s="15" t="s">
        <v>56</v>
      </c>
      <c r="H90" s="15" t="s">
        <v>252</v>
      </c>
      <c r="I90" s="15" t="s">
        <v>57</v>
      </c>
      <c r="J90" s="14" t="s">
        <v>14</v>
      </c>
      <c r="K90" s="14" t="s">
        <v>14</v>
      </c>
      <c r="L90" s="14" t="s">
        <v>58</v>
      </c>
      <c r="M90" s="14"/>
      <c r="N90" s="15" t="s">
        <v>59</v>
      </c>
      <c r="O90" s="15" t="s">
        <v>4</v>
      </c>
      <c r="P90" s="16">
        <v>46320</v>
      </c>
    </row>
    <row r="91" spans="1:16" ht="90" customHeight="1">
      <c r="A91" s="14" t="s">
        <v>253</v>
      </c>
      <c r="B91" s="15" t="s">
        <v>20</v>
      </c>
      <c r="C91" s="15" t="s">
        <v>254</v>
      </c>
      <c r="D91" s="15" t="s">
        <v>250</v>
      </c>
      <c r="E91" s="15" t="s">
        <v>54</v>
      </c>
      <c r="F91" s="15" t="s">
        <v>55</v>
      </c>
      <c r="G91" s="15" t="s">
        <v>56</v>
      </c>
      <c r="H91" s="15" t="s">
        <v>254</v>
      </c>
      <c r="I91" s="15" t="s">
        <v>57</v>
      </c>
      <c r="J91" s="14" t="s">
        <v>14</v>
      </c>
      <c r="K91" s="14" t="s">
        <v>14</v>
      </c>
      <c r="L91" s="14" t="s">
        <v>58</v>
      </c>
      <c r="M91" s="14"/>
      <c r="N91" s="15" t="s">
        <v>59</v>
      </c>
      <c r="O91" s="15" t="s">
        <v>4</v>
      </c>
      <c r="P91" s="16">
        <v>46320</v>
      </c>
    </row>
    <row r="92" spans="1:16" ht="90" customHeight="1">
      <c r="A92" s="14" t="s">
        <v>255</v>
      </c>
      <c r="B92" s="15" t="s">
        <v>20</v>
      </c>
      <c r="C92" s="15" t="s">
        <v>256</v>
      </c>
      <c r="D92" s="15" t="s">
        <v>250</v>
      </c>
      <c r="E92" s="15" t="s">
        <v>54</v>
      </c>
      <c r="F92" s="15" t="s">
        <v>55</v>
      </c>
      <c r="G92" s="15" t="s">
        <v>56</v>
      </c>
      <c r="H92" s="15" t="s">
        <v>256</v>
      </c>
      <c r="I92" s="15" t="s">
        <v>57</v>
      </c>
      <c r="J92" s="14" t="s">
        <v>14</v>
      </c>
      <c r="K92" s="14" t="s">
        <v>14</v>
      </c>
      <c r="L92" s="14" t="s">
        <v>58</v>
      </c>
      <c r="M92" s="14"/>
      <c r="N92" s="15" t="s">
        <v>59</v>
      </c>
      <c r="O92" s="15" t="s">
        <v>4</v>
      </c>
      <c r="P92" s="16">
        <v>46320</v>
      </c>
    </row>
    <row r="93" spans="1:16" ht="90" customHeight="1">
      <c r="A93" s="14" t="s">
        <v>257</v>
      </c>
      <c r="B93" s="15" t="s">
        <v>20</v>
      </c>
      <c r="C93" s="15" t="s">
        <v>258</v>
      </c>
      <c r="D93" s="15" t="s">
        <v>259</v>
      </c>
      <c r="E93" s="15" t="s">
        <v>54</v>
      </c>
      <c r="F93" s="15" t="s">
        <v>55</v>
      </c>
      <c r="G93" s="15" t="s">
        <v>56</v>
      </c>
      <c r="H93" s="15" t="s">
        <v>258</v>
      </c>
      <c r="I93" s="15" t="s">
        <v>57</v>
      </c>
      <c r="J93" s="14" t="s">
        <v>14</v>
      </c>
      <c r="K93" s="14" t="s">
        <v>14</v>
      </c>
      <c r="L93" s="14" t="s">
        <v>58</v>
      </c>
      <c r="M93" s="14"/>
      <c r="N93" s="15" t="s">
        <v>59</v>
      </c>
      <c r="O93" s="15" t="s">
        <v>4</v>
      </c>
      <c r="P93" s="16">
        <v>46320</v>
      </c>
    </row>
    <row r="94" spans="1:16" ht="90" customHeight="1">
      <c r="A94" s="14" t="s">
        <v>260</v>
      </c>
      <c r="B94" s="15" t="s">
        <v>20</v>
      </c>
      <c r="C94" s="15" t="s">
        <v>261</v>
      </c>
      <c r="D94" s="15" t="s">
        <v>259</v>
      </c>
      <c r="E94" s="15" t="s">
        <v>54</v>
      </c>
      <c r="F94" s="15" t="s">
        <v>55</v>
      </c>
      <c r="G94" s="15" t="s">
        <v>56</v>
      </c>
      <c r="H94" s="15" t="s">
        <v>261</v>
      </c>
      <c r="I94" s="15" t="s">
        <v>262</v>
      </c>
      <c r="J94" s="14" t="s">
        <v>14</v>
      </c>
      <c r="K94" s="14" t="s">
        <v>14</v>
      </c>
      <c r="L94" s="14" t="s">
        <v>58</v>
      </c>
      <c r="M94" s="14"/>
      <c r="N94" s="15" t="s">
        <v>59</v>
      </c>
      <c r="O94" s="15" t="s">
        <v>4</v>
      </c>
      <c r="P94" s="16">
        <v>46320</v>
      </c>
    </row>
    <row r="95" spans="1:16" ht="90" customHeight="1">
      <c r="A95" s="14" t="s">
        <v>263</v>
      </c>
      <c r="B95" s="15" t="s">
        <v>20</v>
      </c>
      <c r="C95" s="15" t="s">
        <v>264</v>
      </c>
      <c r="D95" s="15" t="s">
        <v>259</v>
      </c>
      <c r="E95" s="15" t="s">
        <v>54</v>
      </c>
      <c r="F95" s="15" t="s">
        <v>55</v>
      </c>
      <c r="G95" s="15" t="s">
        <v>56</v>
      </c>
      <c r="H95" s="15" t="s">
        <v>264</v>
      </c>
      <c r="I95" s="15" t="s">
        <v>57</v>
      </c>
      <c r="J95" s="14" t="s">
        <v>14</v>
      </c>
      <c r="K95" s="14" t="s">
        <v>14</v>
      </c>
      <c r="L95" s="14" t="s">
        <v>58</v>
      </c>
      <c r="M95" s="14"/>
      <c r="N95" s="15" t="s">
        <v>59</v>
      </c>
      <c r="O95" s="15" t="s">
        <v>4</v>
      </c>
      <c r="P95" s="16">
        <v>46320</v>
      </c>
    </row>
    <row r="96" spans="1:16" ht="90" customHeight="1">
      <c r="A96" s="14" t="s">
        <v>265</v>
      </c>
      <c r="B96" s="15" t="s">
        <v>20</v>
      </c>
      <c r="C96" s="15" t="s">
        <v>266</v>
      </c>
      <c r="D96" s="15" t="s">
        <v>259</v>
      </c>
      <c r="E96" s="15" t="s">
        <v>54</v>
      </c>
      <c r="F96" s="15" t="s">
        <v>55</v>
      </c>
      <c r="G96" s="15" t="s">
        <v>56</v>
      </c>
      <c r="H96" s="15" t="s">
        <v>266</v>
      </c>
      <c r="I96" s="15" t="s">
        <v>57</v>
      </c>
      <c r="J96" s="14" t="s">
        <v>14</v>
      </c>
      <c r="K96" s="14" t="s">
        <v>14</v>
      </c>
      <c r="L96" s="14" t="s">
        <v>58</v>
      </c>
      <c r="M96" s="14"/>
      <c r="N96" s="15" t="s">
        <v>59</v>
      </c>
      <c r="O96" s="15" t="s">
        <v>4</v>
      </c>
      <c r="P96" s="16">
        <v>46320</v>
      </c>
    </row>
    <row r="97" spans="1:16" ht="90" customHeight="1">
      <c r="A97" s="14" t="s">
        <v>267</v>
      </c>
      <c r="B97" s="15" t="s">
        <v>20</v>
      </c>
      <c r="C97" s="15" t="s">
        <v>268</v>
      </c>
      <c r="D97" s="15" t="s">
        <v>259</v>
      </c>
      <c r="E97" s="15" t="s">
        <v>54</v>
      </c>
      <c r="F97" s="15" t="s">
        <v>55</v>
      </c>
      <c r="G97" s="15" t="s">
        <v>56</v>
      </c>
      <c r="H97" s="15" t="s">
        <v>268</v>
      </c>
      <c r="I97" s="15" t="s">
        <v>57</v>
      </c>
      <c r="J97" s="14" t="s">
        <v>14</v>
      </c>
      <c r="K97" s="14" t="s">
        <v>14</v>
      </c>
      <c r="L97" s="14" t="s">
        <v>58</v>
      </c>
      <c r="M97" s="14"/>
      <c r="N97" s="15" t="s">
        <v>59</v>
      </c>
      <c r="O97" s="15" t="s">
        <v>4</v>
      </c>
      <c r="P97" s="16">
        <v>46320</v>
      </c>
    </row>
    <row r="98" spans="1:16" ht="90" customHeight="1">
      <c r="A98" s="14" t="s">
        <v>269</v>
      </c>
      <c r="B98" s="15" t="s">
        <v>20</v>
      </c>
      <c r="C98" s="15" t="s">
        <v>270</v>
      </c>
      <c r="D98" s="15" t="s">
        <v>259</v>
      </c>
      <c r="E98" s="15" t="s">
        <v>54</v>
      </c>
      <c r="F98" s="15" t="s">
        <v>55</v>
      </c>
      <c r="G98" s="15" t="s">
        <v>56</v>
      </c>
      <c r="H98" s="15" t="s">
        <v>270</v>
      </c>
      <c r="I98" s="15" t="s">
        <v>57</v>
      </c>
      <c r="J98" s="14" t="s">
        <v>14</v>
      </c>
      <c r="K98" s="14" t="s">
        <v>14</v>
      </c>
      <c r="L98" s="14" t="s">
        <v>58</v>
      </c>
      <c r="M98" s="14"/>
      <c r="N98" s="15" t="s">
        <v>59</v>
      </c>
      <c r="O98" s="15" t="s">
        <v>4</v>
      </c>
      <c r="P98" s="16">
        <v>46320</v>
      </c>
    </row>
    <row r="99" spans="1:16" ht="90" customHeight="1">
      <c r="A99" s="14" t="s">
        <v>271</v>
      </c>
      <c r="B99" s="15" t="s">
        <v>20</v>
      </c>
      <c r="C99" s="15" t="s">
        <v>272</v>
      </c>
      <c r="D99" s="15" t="s">
        <v>259</v>
      </c>
      <c r="E99" s="15" t="s">
        <v>54</v>
      </c>
      <c r="F99" s="15" t="s">
        <v>55</v>
      </c>
      <c r="G99" s="15" t="s">
        <v>56</v>
      </c>
      <c r="H99" s="15" t="s">
        <v>272</v>
      </c>
      <c r="I99" s="15" t="s">
        <v>57</v>
      </c>
      <c r="J99" s="14" t="s">
        <v>14</v>
      </c>
      <c r="K99" s="14" t="s">
        <v>14</v>
      </c>
      <c r="L99" s="14" t="s">
        <v>58</v>
      </c>
      <c r="M99" s="14"/>
      <c r="N99" s="15" t="s">
        <v>59</v>
      </c>
      <c r="O99" s="15" t="s">
        <v>4</v>
      </c>
      <c r="P99" s="16">
        <v>46320</v>
      </c>
    </row>
    <row r="100" spans="1:16" ht="90" customHeight="1">
      <c r="A100" s="14" t="s">
        <v>273</v>
      </c>
      <c r="B100" s="15" t="s">
        <v>20</v>
      </c>
      <c r="C100" s="15" t="s">
        <v>274</v>
      </c>
      <c r="D100" s="15" t="s">
        <v>259</v>
      </c>
      <c r="E100" s="15" t="s">
        <v>54</v>
      </c>
      <c r="F100" s="15" t="s">
        <v>55</v>
      </c>
      <c r="G100" s="15" t="s">
        <v>56</v>
      </c>
      <c r="H100" s="15" t="s">
        <v>274</v>
      </c>
      <c r="I100" s="15" t="s">
        <v>57</v>
      </c>
      <c r="J100" s="14" t="s">
        <v>14</v>
      </c>
      <c r="K100" s="14" t="s">
        <v>14</v>
      </c>
      <c r="L100" s="14" t="s">
        <v>58</v>
      </c>
      <c r="M100" s="14"/>
      <c r="N100" s="15" t="s">
        <v>59</v>
      </c>
      <c r="O100" s="15" t="s">
        <v>4</v>
      </c>
      <c r="P100" s="16">
        <v>46320</v>
      </c>
    </row>
    <row r="101" spans="1:16" ht="90" customHeight="1">
      <c r="A101" s="14" t="s">
        <v>275</v>
      </c>
      <c r="B101" s="15" t="s">
        <v>20</v>
      </c>
      <c r="C101" s="15" t="s">
        <v>276</v>
      </c>
      <c r="D101" s="15" t="s">
        <v>259</v>
      </c>
      <c r="E101" s="15" t="s">
        <v>54</v>
      </c>
      <c r="F101" s="15" t="s">
        <v>55</v>
      </c>
      <c r="G101" s="15" t="s">
        <v>56</v>
      </c>
      <c r="H101" s="15" t="s">
        <v>276</v>
      </c>
      <c r="I101" s="15" t="s">
        <v>57</v>
      </c>
      <c r="J101" s="14" t="s">
        <v>14</v>
      </c>
      <c r="K101" s="14" t="s">
        <v>14</v>
      </c>
      <c r="L101" s="14" t="s">
        <v>58</v>
      </c>
      <c r="M101" s="14"/>
      <c r="N101" s="15" t="s">
        <v>59</v>
      </c>
      <c r="O101" s="15" t="s">
        <v>4</v>
      </c>
      <c r="P101" s="16">
        <v>46320</v>
      </c>
    </row>
    <row r="102" spans="1:16" ht="90" customHeight="1">
      <c r="A102" s="14" t="s">
        <v>277</v>
      </c>
      <c r="B102" s="15" t="s">
        <v>20</v>
      </c>
      <c r="C102" s="15" t="s">
        <v>278</v>
      </c>
      <c r="D102" s="15" t="s">
        <v>259</v>
      </c>
      <c r="E102" s="15" t="s">
        <v>54</v>
      </c>
      <c r="F102" s="15" t="s">
        <v>55</v>
      </c>
      <c r="G102" s="15" t="s">
        <v>56</v>
      </c>
      <c r="H102" s="15" t="s">
        <v>278</v>
      </c>
      <c r="I102" s="15" t="s">
        <v>57</v>
      </c>
      <c r="J102" s="14" t="s">
        <v>14</v>
      </c>
      <c r="K102" s="14" t="s">
        <v>14</v>
      </c>
      <c r="L102" s="14" t="s">
        <v>58</v>
      </c>
      <c r="M102" s="14"/>
      <c r="N102" s="15" t="s">
        <v>59</v>
      </c>
      <c r="O102" s="15" t="s">
        <v>4</v>
      </c>
      <c r="P102" s="16">
        <v>46320</v>
      </c>
    </row>
    <row r="103" spans="1:16" ht="90" customHeight="1">
      <c r="A103" s="14" t="s">
        <v>279</v>
      </c>
      <c r="B103" s="15" t="s">
        <v>20</v>
      </c>
      <c r="C103" s="15" t="s">
        <v>280</v>
      </c>
      <c r="D103" s="15" t="s">
        <v>259</v>
      </c>
      <c r="E103" s="15" t="s">
        <v>54</v>
      </c>
      <c r="F103" s="15" t="s">
        <v>55</v>
      </c>
      <c r="G103" s="15" t="s">
        <v>56</v>
      </c>
      <c r="H103" s="15" t="s">
        <v>280</v>
      </c>
      <c r="I103" s="15" t="s">
        <v>57</v>
      </c>
      <c r="J103" s="14" t="s">
        <v>14</v>
      </c>
      <c r="K103" s="14" t="s">
        <v>14</v>
      </c>
      <c r="L103" s="14" t="s">
        <v>58</v>
      </c>
      <c r="M103" s="14"/>
      <c r="N103" s="15" t="s">
        <v>59</v>
      </c>
      <c r="O103" s="15" t="s">
        <v>4</v>
      </c>
      <c r="P103" s="16">
        <v>46320</v>
      </c>
    </row>
    <row r="104" spans="1:16" ht="90" customHeight="1">
      <c r="A104" s="14" t="s">
        <v>281</v>
      </c>
      <c r="B104" s="15" t="s">
        <v>20</v>
      </c>
      <c r="C104" s="15" t="s">
        <v>282</v>
      </c>
      <c r="D104" s="15" t="s">
        <v>259</v>
      </c>
      <c r="E104" s="15" t="s">
        <v>54</v>
      </c>
      <c r="F104" s="15" t="s">
        <v>55</v>
      </c>
      <c r="G104" s="15" t="s">
        <v>56</v>
      </c>
      <c r="H104" s="15" t="s">
        <v>282</v>
      </c>
      <c r="I104" s="15" t="s">
        <v>57</v>
      </c>
      <c r="J104" s="14" t="s">
        <v>14</v>
      </c>
      <c r="K104" s="14" t="s">
        <v>14</v>
      </c>
      <c r="L104" s="14" t="s">
        <v>58</v>
      </c>
      <c r="M104" s="14"/>
      <c r="N104" s="15" t="s">
        <v>59</v>
      </c>
      <c r="O104" s="15" t="s">
        <v>4</v>
      </c>
      <c r="P104" s="16">
        <v>46320</v>
      </c>
    </row>
    <row r="105" spans="1:16" ht="90" customHeight="1">
      <c r="A105" s="14" t="s">
        <v>283</v>
      </c>
      <c r="B105" s="15" t="s">
        <v>20</v>
      </c>
      <c r="C105" s="15" t="s">
        <v>284</v>
      </c>
      <c r="D105" s="15" t="s">
        <v>259</v>
      </c>
      <c r="E105" s="15" t="s">
        <v>54</v>
      </c>
      <c r="F105" s="15" t="s">
        <v>55</v>
      </c>
      <c r="G105" s="15" t="s">
        <v>56</v>
      </c>
      <c r="H105" s="15" t="s">
        <v>284</v>
      </c>
      <c r="I105" s="15" t="s">
        <v>57</v>
      </c>
      <c r="J105" s="14" t="s">
        <v>14</v>
      </c>
      <c r="K105" s="14" t="s">
        <v>14</v>
      </c>
      <c r="L105" s="14" t="s">
        <v>58</v>
      </c>
      <c r="M105" s="14"/>
      <c r="N105" s="15" t="s">
        <v>59</v>
      </c>
      <c r="O105" s="15" t="s">
        <v>4</v>
      </c>
      <c r="P105" s="16">
        <v>46320</v>
      </c>
    </row>
    <row r="106" spans="1:16" ht="90" customHeight="1">
      <c r="A106" s="14" t="s">
        <v>285</v>
      </c>
      <c r="B106" s="15" t="s">
        <v>20</v>
      </c>
      <c r="C106" s="15" t="s">
        <v>286</v>
      </c>
      <c r="D106" s="15" t="s">
        <v>259</v>
      </c>
      <c r="E106" s="15" t="s">
        <v>54</v>
      </c>
      <c r="F106" s="15" t="s">
        <v>55</v>
      </c>
      <c r="G106" s="15" t="s">
        <v>56</v>
      </c>
      <c r="H106" s="15" t="s">
        <v>286</v>
      </c>
      <c r="I106" s="15" t="s">
        <v>57</v>
      </c>
      <c r="J106" s="14" t="s">
        <v>14</v>
      </c>
      <c r="K106" s="14" t="s">
        <v>14</v>
      </c>
      <c r="L106" s="14" t="s">
        <v>58</v>
      </c>
      <c r="M106" s="14"/>
      <c r="N106" s="15" t="s">
        <v>59</v>
      </c>
      <c r="O106" s="15" t="s">
        <v>4</v>
      </c>
      <c r="P106" s="16">
        <v>46320</v>
      </c>
    </row>
    <row r="107" spans="1:16" ht="90" customHeight="1">
      <c r="A107" s="14" t="s">
        <v>287</v>
      </c>
      <c r="B107" s="15" t="s">
        <v>20</v>
      </c>
      <c r="C107" s="15" t="s">
        <v>288</v>
      </c>
      <c r="D107" s="15" t="s">
        <v>289</v>
      </c>
      <c r="E107" s="15" t="s">
        <v>54</v>
      </c>
      <c r="F107" s="15" t="s">
        <v>55</v>
      </c>
      <c r="G107" s="15" t="s">
        <v>56</v>
      </c>
      <c r="H107" s="15" t="s">
        <v>288</v>
      </c>
      <c r="I107" s="15" t="s">
        <v>57</v>
      </c>
      <c r="J107" s="14" t="s">
        <v>14</v>
      </c>
      <c r="K107" s="14" t="s">
        <v>14</v>
      </c>
      <c r="L107" s="14" t="s">
        <v>58</v>
      </c>
      <c r="M107" s="14"/>
      <c r="N107" s="15" t="s">
        <v>59</v>
      </c>
      <c r="O107" s="15" t="s">
        <v>4</v>
      </c>
      <c r="P107" s="16">
        <v>46320</v>
      </c>
    </row>
    <row r="108" spans="1:16" ht="90" customHeight="1">
      <c r="A108" s="14" t="s">
        <v>290</v>
      </c>
      <c r="B108" s="15" t="s">
        <v>20</v>
      </c>
      <c r="C108" s="15" t="s">
        <v>291</v>
      </c>
      <c r="D108" s="15" t="s">
        <v>292</v>
      </c>
      <c r="E108" s="15" t="s">
        <v>54</v>
      </c>
      <c r="F108" s="15" t="s">
        <v>55</v>
      </c>
      <c r="G108" s="15" t="s">
        <v>56</v>
      </c>
      <c r="H108" s="15" t="s">
        <v>291</v>
      </c>
      <c r="I108" s="15" t="s">
        <v>57</v>
      </c>
      <c r="J108" s="14" t="s">
        <v>14</v>
      </c>
      <c r="K108" s="14" t="s">
        <v>14</v>
      </c>
      <c r="L108" s="14" t="s">
        <v>58</v>
      </c>
      <c r="M108" s="14"/>
      <c r="N108" s="15" t="s">
        <v>59</v>
      </c>
      <c r="O108" s="15" t="s">
        <v>4</v>
      </c>
      <c r="P108" s="16">
        <v>46320</v>
      </c>
    </row>
    <row r="109" spans="1:16" ht="90" customHeight="1">
      <c r="A109" s="14" t="s">
        <v>293</v>
      </c>
      <c r="B109" s="15" t="s">
        <v>20</v>
      </c>
      <c r="C109" s="15" t="s">
        <v>294</v>
      </c>
      <c r="D109" s="15" t="s">
        <v>295</v>
      </c>
      <c r="E109" s="15" t="s">
        <v>54</v>
      </c>
      <c r="F109" s="15" t="s">
        <v>55</v>
      </c>
      <c r="G109" s="15" t="s">
        <v>56</v>
      </c>
      <c r="H109" s="15" t="s">
        <v>294</v>
      </c>
      <c r="I109" s="15" t="s">
        <v>57</v>
      </c>
      <c r="J109" s="14" t="s">
        <v>14</v>
      </c>
      <c r="K109" s="14" t="s">
        <v>14</v>
      </c>
      <c r="L109" s="14" t="s">
        <v>58</v>
      </c>
      <c r="M109" s="14"/>
      <c r="N109" s="15" t="s">
        <v>59</v>
      </c>
      <c r="O109" s="15" t="s">
        <v>4</v>
      </c>
      <c r="P109" s="16">
        <v>46320</v>
      </c>
    </row>
    <row r="110" spans="1:16" ht="90" customHeight="1">
      <c r="A110" s="14" t="s">
        <v>296</v>
      </c>
      <c r="B110" s="15" t="s">
        <v>20</v>
      </c>
      <c r="C110" s="15" t="s">
        <v>297</v>
      </c>
      <c r="D110" s="15" t="s">
        <v>295</v>
      </c>
      <c r="E110" s="15" t="s">
        <v>54</v>
      </c>
      <c r="F110" s="15" t="s">
        <v>55</v>
      </c>
      <c r="G110" s="15" t="s">
        <v>56</v>
      </c>
      <c r="H110" s="15" t="s">
        <v>297</v>
      </c>
      <c r="I110" s="15" t="s">
        <v>57</v>
      </c>
      <c r="J110" s="14" t="s">
        <v>14</v>
      </c>
      <c r="K110" s="14" t="s">
        <v>14</v>
      </c>
      <c r="L110" s="14" t="s">
        <v>58</v>
      </c>
      <c r="M110" s="14"/>
      <c r="N110" s="15" t="s">
        <v>59</v>
      </c>
      <c r="O110" s="15" t="s">
        <v>4</v>
      </c>
      <c r="P110" s="16">
        <v>46320</v>
      </c>
    </row>
    <row r="111" spans="1:16" ht="90" customHeight="1">
      <c r="A111" s="14" t="s">
        <v>298</v>
      </c>
      <c r="B111" s="15" t="s">
        <v>20</v>
      </c>
      <c r="C111" s="15" t="s">
        <v>299</v>
      </c>
      <c r="D111" s="15" t="s">
        <v>295</v>
      </c>
      <c r="E111" s="15" t="s">
        <v>54</v>
      </c>
      <c r="F111" s="15" t="s">
        <v>55</v>
      </c>
      <c r="G111" s="15" t="s">
        <v>56</v>
      </c>
      <c r="H111" s="15" t="s">
        <v>299</v>
      </c>
      <c r="I111" s="15" t="s">
        <v>57</v>
      </c>
      <c r="J111" s="14" t="s">
        <v>14</v>
      </c>
      <c r="K111" s="14" t="s">
        <v>14</v>
      </c>
      <c r="L111" s="14" t="s">
        <v>58</v>
      </c>
      <c r="M111" s="14"/>
      <c r="N111" s="15" t="s">
        <v>59</v>
      </c>
      <c r="O111" s="15" t="s">
        <v>4</v>
      </c>
      <c r="P111" s="16">
        <v>46320</v>
      </c>
    </row>
    <row r="112" spans="1:16" ht="90" customHeight="1">
      <c r="A112" s="14" t="s">
        <v>300</v>
      </c>
      <c r="B112" s="15" t="s">
        <v>20</v>
      </c>
      <c r="C112" s="15" t="s">
        <v>301</v>
      </c>
      <c r="D112" s="15" t="s">
        <v>295</v>
      </c>
      <c r="E112" s="15" t="s">
        <v>54</v>
      </c>
      <c r="F112" s="15" t="s">
        <v>55</v>
      </c>
      <c r="G112" s="15" t="s">
        <v>56</v>
      </c>
      <c r="H112" s="15" t="s">
        <v>301</v>
      </c>
      <c r="I112" s="15" t="s">
        <v>57</v>
      </c>
      <c r="J112" s="14" t="s">
        <v>14</v>
      </c>
      <c r="K112" s="14" t="s">
        <v>14</v>
      </c>
      <c r="L112" s="14" t="s">
        <v>58</v>
      </c>
      <c r="M112" s="14"/>
      <c r="N112" s="15" t="s">
        <v>59</v>
      </c>
      <c r="O112" s="15" t="s">
        <v>4</v>
      </c>
      <c r="P112" s="16">
        <v>46320</v>
      </c>
    </row>
    <row r="113" spans="1:16" ht="90" customHeight="1">
      <c r="A113" s="14" t="s">
        <v>302</v>
      </c>
      <c r="B113" s="15" t="s">
        <v>20</v>
      </c>
      <c r="C113" s="15" t="s">
        <v>303</v>
      </c>
      <c r="D113" s="15" t="s">
        <v>304</v>
      </c>
      <c r="E113" s="15" t="s">
        <v>54</v>
      </c>
      <c r="F113" s="15" t="s">
        <v>55</v>
      </c>
      <c r="G113" s="15" t="s">
        <v>56</v>
      </c>
      <c r="H113" s="15" t="s">
        <v>303</v>
      </c>
      <c r="I113" s="15" t="s">
        <v>57</v>
      </c>
      <c r="J113" s="14" t="s">
        <v>14</v>
      </c>
      <c r="K113" s="14" t="s">
        <v>14</v>
      </c>
      <c r="L113" s="14" t="s">
        <v>58</v>
      </c>
      <c r="M113" s="14"/>
      <c r="N113" s="15" t="s">
        <v>59</v>
      </c>
      <c r="O113" s="15" t="s">
        <v>4</v>
      </c>
      <c r="P113" s="16">
        <v>46320</v>
      </c>
    </row>
    <row r="114" spans="1:16" ht="90" customHeight="1">
      <c r="A114" s="14" t="s">
        <v>305</v>
      </c>
      <c r="B114" s="15" t="s">
        <v>20</v>
      </c>
      <c r="C114" s="15" t="s">
        <v>306</v>
      </c>
      <c r="D114" s="15" t="s">
        <v>304</v>
      </c>
      <c r="E114" s="15" t="s">
        <v>54</v>
      </c>
      <c r="F114" s="15" t="s">
        <v>55</v>
      </c>
      <c r="G114" s="15" t="s">
        <v>56</v>
      </c>
      <c r="H114" s="15" t="s">
        <v>306</v>
      </c>
      <c r="I114" s="15" t="s">
        <v>57</v>
      </c>
      <c r="J114" s="14" t="s">
        <v>14</v>
      </c>
      <c r="K114" s="14" t="s">
        <v>14</v>
      </c>
      <c r="L114" s="14" t="s">
        <v>58</v>
      </c>
      <c r="M114" s="14"/>
      <c r="N114" s="15" t="s">
        <v>59</v>
      </c>
      <c r="O114" s="15" t="s">
        <v>4</v>
      </c>
      <c r="P114" s="16">
        <v>46320</v>
      </c>
    </row>
    <row r="115" spans="1:16" ht="90" customHeight="1">
      <c r="A115" s="14" t="s">
        <v>307</v>
      </c>
      <c r="B115" s="15" t="s">
        <v>20</v>
      </c>
      <c r="C115" s="15" t="s">
        <v>308</v>
      </c>
      <c r="D115" s="15" t="s">
        <v>304</v>
      </c>
      <c r="E115" s="15" t="s">
        <v>54</v>
      </c>
      <c r="F115" s="15" t="s">
        <v>55</v>
      </c>
      <c r="G115" s="15" t="s">
        <v>56</v>
      </c>
      <c r="H115" s="15" t="s">
        <v>308</v>
      </c>
      <c r="I115" s="15" t="s">
        <v>57</v>
      </c>
      <c r="J115" s="14" t="s">
        <v>14</v>
      </c>
      <c r="K115" s="14" t="s">
        <v>14</v>
      </c>
      <c r="L115" s="14" t="s">
        <v>58</v>
      </c>
      <c r="M115" s="14"/>
      <c r="N115" s="15" t="s">
        <v>59</v>
      </c>
      <c r="O115" s="15" t="s">
        <v>4</v>
      </c>
      <c r="P115" s="16">
        <v>46320</v>
      </c>
    </row>
    <row r="116" spans="1:16" ht="90" customHeight="1">
      <c r="A116" s="14" t="s">
        <v>309</v>
      </c>
      <c r="B116" s="15" t="s">
        <v>20</v>
      </c>
      <c r="C116" s="15" t="s">
        <v>310</v>
      </c>
      <c r="D116" s="15" t="s">
        <v>304</v>
      </c>
      <c r="E116" s="15" t="s">
        <v>54</v>
      </c>
      <c r="F116" s="15" t="s">
        <v>55</v>
      </c>
      <c r="G116" s="15" t="s">
        <v>56</v>
      </c>
      <c r="H116" s="15" t="s">
        <v>310</v>
      </c>
      <c r="I116" s="15" t="s">
        <v>57</v>
      </c>
      <c r="J116" s="14" t="s">
        <v>14</v>
      </c>
      <c r="K116" s="14" t="s">
        <v>14</v>
      </c>
      <c r="L116" s="14" t="s">
        <v>58</v>
      </c>
      <c r="M116" s="14"/>
      <c r="N116" s="15" t="s">
        <v>59</v>
      </c>
      <c r="O116" s="15" t="s">
        <v>4</v>
      </c>
      <c r="P116" s="16">
        <v>46320</v>
      </c>
    </row>
    <row r="117" spans="1:16" ht="90" customHeight="1">
      <c r="A117" s="14" t="s">
        <v>311</v>
      </c>
      <c r="B117" s="15" t="s">
        <v>20</v>
      </c>
      <c r="C117" s="15" t="s">
        <v>312</v>
      </c>
      <c r="D117" s="15" t="s">
        <v>304</v>
      </c>
      <c r="E117" s="15" t="s">
        <v>54</v>
      </c>
      <c r="F117" s="15" t="s">
        <v>55</v>
      </c>
      <c r="G117" s="15" t="s">
        <v>56</v>
      </c>
      <c r="H117" s="15" t="s">
        <v>312</v>
      </c>
      <c r="I117" s="15" t="s">
        <v>57</v>
      </c>
      <c r="J117" s="14" t="s">
        <v>14</v>
      </c>
      <c r="K117" s="14" t="s">
        <v>14</v>
      </c>
      <c r="L117" s="14" t="s">
        <v>58</v>
      </c>
      <c r="M117" s="14"/>
      <c r="N117" s="15" t="s">
        <v>59</v>
      </c>
      <c r="O117" s="15" t="s">
        <v>4</v>
      </c>
      <c r="P117" s="16">
        <v>46320</v>
      </c>
    </row>
    <row r="118" spans="1:16" ht="90" customHeight="1">
      <c r="A118" s="14" t="s">
        <v>313</v>
      </c>
      <c r="B118" s="15" t="s">
        <v>20</v>
      </c>
      <c r="C118" s="15" t="s">
        <v>314</v>
      </c>
      <c r="D118" s="15" t="s">
        <v>304</v>
      </c>
      <c r="E118" s="15" t="s">
        <v>54</v>
      </c>
      <c r="F118" s="15" t="s">
        <v>55</v>
      </c>
      <c r="G118" s="15" t="s">
        <v>56</v>
      </c>
      <c r="H118" s="15" t="s">
        <v>314</v>
      </c>
      <c r="I118" s="15" t="s">
        <v>57</v>
      </c>
      <c r="J118" s="14" t="s">
        <v>14</v>
      </c>
      <c r="K118" s="14" t="s">
        <v>14</v>
      </c>
      <c r="L118" s="14" t="s">
        <v>58</v>
      </c>
      <c r="M118" s="14"/>
      <c r="N118" s="15" t="s">
        <v>59</v>
      </c>
      <c r="O118" s="15" t="s">
        <v>4</v>
      </c>
      <c r="P118" s="16">
        <v>46320</v>
      </c>
    </row>
    <row r="119" spans="1:16" ht="90" customHeight="1">
      <c r="A119" s="14" t="s">
        <v>315</v>
      </c>
      <c r="B119" s="15" t="s">
        <v>20</v>
      </c>
      <c r="C119" s="15" t="s">
        <v>316</v>
      </c>
      <c r="D119" s="15" t="s">
        <v>304</v>
      </c>
      <c r="E119" s="15" t="s">
        <v>54</v>
      </c>
      <c r="F119" s="15" t="s">
        <v>55</v>
      </c>
      <c r="G119" s="15" t="s">
        <v>56</v>
      </c>
      <c r="H119" s="15" t="s">
        <v>316</v>
      </c>
      <c r="I119" s="15" t="s">
        <v>57</v>
      </c>
      <c r="J119" s="14" t="s">
        <v>14</v>
      </c>
      <c r="K119" s="14" t="s">
        <v>14</v>
      </c>
      <c r="L119" s="14" t="s">
        <v>58</v>
      </c>
      <c r="M119" s="14"/>
      <c r="N119" s="15" t="s">
        <v>59</v>
      </c>
      <c r="O119" s="15" t="s">
        <v>4</v>
      </c>
      <c r="P119" s="16">
        <v>46320</v>
      </c>
    </row>
    <row r="120" spans="1:16" ht="90" customHeight="1">
      <c r="A120" s="14" t="s">
        <v>317</v>
      </c>
      <c r="B120" s="15" t="s">
        <v>20</v>
      </c>
      <c r="C120" s="15" t="s">
        <v>318</v>
      </c>
      <c r="D120" s="15" t="s">
        <v>304</v>
      </c>
      <c r="E120" s="15" t="s">
        <v>54</v>
      </c>
      <c r="F120" s="15" t="s">
        <v>55</v>
      </c>
      <c r="G120" s="15" t="s">
        <v>56</v>
      </c>
      <c r="H120" s="15" t="s">
        <v>318</v>
      </c>
      <c r="I120" s="15" t="s">
        <v>57</v>
      </c>
      <c r="J120" s="14" t="s">
        <v>14</v>
      </c>
      <c r="K120" s="14" t="s">
        <v>14</v>
      </c>
      <c r="L120" s="14" t="s">
        <v>58</v>
      </c>
      <c r="M120" s="14"/>
      <c r="N120" s="15" t="s">
        <v>59</v>
      </c>
      <c r="O120" s="15" t="s">
        <v>4</v>
      </c>
      <c r="P120" s="16">
        <v>46320</v>
      </c>
    </row>
    <row r="121" spans="1:16" ht="90" customHeight="1">
      <c r="A121" s="14" t="s">
        <v>319</v>
      </c>
      <c r="B121" s="15" t="s">
        <v>20</v>
      </c>
      <c r="C121" s="15" t="s">
        <v>320</v>
      </c>
      <c r="D121" s="15" t="s">
        <v>304</v>
      </c>
      <c r="E121" s="15" t="s">
        <v>54</v>
      </c>
      <c r="F121" s="15" t="s">
        <v>55</v>
      </c>
      <c r="G121" s="15" t="s">
        <v>56</v>
      </c>
      <c r="H121" s="15" t="s">
        <v>320</v>
      </c>
      <c r="I121" s="15" t="s">
        <v>57</v>
      </c>
      <c r="J121" s="14" t="s">
        <v>14</v>
      </c>
      <c r="K121" s="14" t="s">
        <v>14</v>
      </c>
      <c r="L121" s="14" t="s">
        <v>58</v>
      </c>
      <c r="M121" s="14"/>
      <c r="N121" s="15" t="s">
        <v>59</v>
      </c>
      <c r="O121" s="15" t="s">
        <v>4</v>
      </c>
      <c r="P121" s="16">
        <v>46320</v>
      </c>
    </row>
    <row r="122" spans="1:16" ht="90" customHeight="1">
      <c r="A122" s="14" t="s">
        <v>321</v>
      </c>
      <c r="B122" s="15" t="s">
        <v>20</v>
      </c>
      <c r="C122" s="15" t="s">
        <v>322</v>
      </c>
      <c r="D122" s="15" t="s">
        <v>304</v>
      </c>
      <c r="E122" s="15" t="s">
        <v>54</v>
      </c>
      <c r="F122" s="15" t="s">
        <v>55</v>
      </c>
      <c r="G122" s="15" t="s">
        <v>56</v>
      </c>
      <c r="H122" s="15" t="s">
        <v>322</v>
      </c>
      <c r="I122" s="15" t="s">
        <v>57</v>
      </c>
      <c r="J122" s="14" t="s">
        <v>14</v>
      </c>
      <c r="K122" s="14" t="s">
        <v>14</v>
      </c>
      <c r="L122" s="14" t="s">
        <v>58</v>
      </c>
      <c r="M122" s="14"/>
      <c r="N122" s="15" t="s">
        <v>59</v>
      </c>
      <c r="O122" s="15" t="s">
        <v>4</v>
      </c>
      <c r="P122" s="16">
        <v>46320</v>
      </c>
    </row>
    <row r="123" spans="1:16" ht="90" customHeight="1">
      <c r="A123" s="14" t="s">
        <v>323</v>
      </c>
      <c r="B123" s="15" t="s">
        <v>20</v>
      </c>
      <c r="C123" s="15" t="s">
        <v>324</v>
      </c>
      <c r="D123" s="15" t="s">
        <v>304</v>
      </c>
      <c r="E123" s="15" t="s">
        <v>54</v>
      </c>
      <c r="F123" s="15" t="s">
        <v>55</v>
      </c>
      <c r="G123" s="15" t="s">
        <v>56</v>
      </c>
      <c r="H123" s="15" t="s">
        <v>324</v>
      </c>
      <c r="I123" s="15" t="s">
        <v>57</v>
      </c>
      <c r="J123" s="14" t="s">
        <v>14</v>
      </c>
      <c r="K123" s="14" t="s">
        <v>14</v>
      </c>
      <c r="L123" s="14" t="s">
        <v>58</v>
      </c>
      <c r="M123" s="14"/>
      <c r="N123" s="15" t="s">
        <v>59</v>
      </c>
      <c r="O123" s="15" t="s">
        <v>4</v>
      </c>
      <c r="P123" s="16">
        <v>46320</v>
      </c>
    </row>
    <row r="124" spans="1:16" ht="90" customHeight="1">
      <c r="A124" s="14" t="s">
        <v>325</v>
      </c>
      <c r="B124" s="15" t="s">
        <v>20</v>
      </c>
      <c r="C124" s="15" t="s">
        <v>326</v>
      </c>
      <c r="D124" s="15" t="s">
        <v>304</v>
      </c>
      <c r="E124" s="15" t="s">
        <v>54</v>
      </c>
      <c r="F124" s="15" t="s">
        <v>55</v>
      </c>
      <c r="G124" s="15" t="s">
        <v>56</v>
      </c>
      <c r="H124" s="15" t="s">
        <v>326</v>
      </c>
      <c r="I124" s="15" t="s">
        <v>57</v>
      </c>
      <c r="J124" s="14" t="s">
        <v>14</v>
      </c>
      <c r="K124" s="14" t="s">
        <v>14</v>
      </c>
      <c r="L124" s="14" t="s">
        <v>58</v>
      </c>
      <c r="M124" s="14"/>
      <c r="N124" s="15" t="s">
        <v>59</v>
      </c>
      <c r="O124" s="15" t="s">
        <v>4</v>
      </c>
      <c r="P124" s="16">
        <v>46320</v>
      </c>
    </row>
    <row r="125" spans="1:16" ht="90" customHeight="1">
      <c r="A125" s="14" t="s">
        <v>327</v>
      </c>
      <c r="B125" s="15" t="s">
        <v>20</v>
      </c>
      <c r="C125" s="15" t="s">
        <v>328</v>
      </c>
      <c r="D125" s="15" t="s">
        <v>304</v>
      </c>
      <c r="E125" s="15" t="s">
        <v>54</v>
      </c>
      <c r="F125" s="15" t="s">
        <v>55</v>
      </c>
      <c r="G125" s="15" t="s">
        <v>56</v>
      </c>
      <c r="H125" s="15" t="s">
        <v>328</v>
      </c>
      <c r="I125" s="15" t="s">
        <v>57</v>
      </c>
      <c r="J125" s="14" t="s">
        <v>14</v>
      </c>
      <c r="K125" s="14" t="s">
        <v>14</v>
      </c>
      <c r="L125" s="14" t="s">
        <v>58</v>
      </c>
      <c r="M125" s="14"/>
      <c r="N125" s="15" t="s">
        <v>59</v>
      </c>
      <c r="O125" s="15" t="s">
        <v>4</v>
      </c>
      <c r="P125" s="16">
        <v>46320</v>
      </c>
    </row>
    <row r="126" spans="1:16" ht="90" customHeight="1">
      <c r="A126" s="14" t="s">
        <v>329</v>
      </c>
      <c r="B126" s="15" t="s">
        <v>20</v>
      </c>
      <c r="C126" s="15" t="s">
        <v>330</v>
      </c>
      <c r="D126" s="15" t="s">
        <v>304</v>
      </c>
      <c r="E126" s="15" t="s">
        <v>54</v>
      </c>
      <c r="F126" s="15" t="s">
        <v>55</v>
      </c>
      <c r="G126" s="15" t="s">
        <v>56</v>
      </c>
      <c r="H126" s="15" t="s">
        <v>330</v>
      </c>
      <c r="I126" s="15" t="s">
        <v>57</v>
      </c>
      <c r="J126" s="14" t="s">
        <v>14</v>
      </c>
      <c r="K126" s="14" t="s">
        <v>14</v>
      </c>
      <c r="L126" s="14" t="s">
        <v>58</v>
      </c>
      <c r="M126" s="14"/>
      <c r="N126" s="15" t="s">
        <v>59</v>
      </c>
      <c r="O126" s="15" t="s">
        <v>4</v>
      </c>
      <c r="P126" s="16">
        <v>46320</v>
      </c>
    </row>
    <row r="127" spans="1:16" ht="90" customHeight="1">
      <c r="A127" s="14" t="s">
        <v>331</v>
      </c>
      <c r="B127" s="15" t="s">
        <v>20</v>
      </c>
      <c r="C127" s="15" t="s">
        <v>332</v>
      </c>
      <c r="D127" s="15" t="s">
        <v>304</v>
      </c>
      <c r="E127" s="15" t="s">
        <v>54</v>
      </c>
      <c r="F127" s="15" t="s">
        <v>55</v>
      </c>
      <c r="G127" s="15" t="s">
        <v>56</v>
      </c>
      <c r="H127" s="15" t="s">
        <v>332</v>
      </c>
      <c r="I127" s="15" t="s">
        <v>57</v>
      </c>
      <c r="J127" s="14" t="s">
        <v>14</v>
      </c>
      <c r="K127" s="14" t="s">
        <v>14</v>
      </c>
      <c r="L127" s="14" t="s">
        <v>58</v>
      </c>
      <c r="M127" s="14"/>
      <c r="N127" s="15" t="s">
        <v>59</v>
      </c>
      <c r="O127" s="15" t="s">
        <v>4</v>
      </c>
      <c r="P127" s="16">
        <v>46320</v>
      </c>
    </row>
    <row r="128" spans="1:16" ht="90" customHeight="1">
      <c r="A128" s="14" t="s">
        <v>333</v>
      </c>
      <c r="B128" s="15" t="s">
        <v>20</v>
      </c>
      <c r="C128" s="15" t="s">
        <v>334</v>
      </c>
      <c r="D128" s="15" t="s">
        <v>304</v>
      </c>
      <c r="E128" s="15" t="s">
        <v>54</v>
      </c>
      <c r="F128" s="15" t="s">
        <v>55</v>
      </c>
      <c r="G128" s="15" t="s">
        <v>56</v>
      </c>
      <c r="H128" s="15" t="s">
        <v>334</v>
      </c>
      <c r="I128" s="15" t="s">
        <v>57</v>
      </c>
      <c r="J128" s="14" t="s">
        <v>14</v>
      </c>
      <c r="K128" s="14" t="s">
        <v>14</v>
      </c>
      <c r="L128" s="14" t="s">
        <v>58</v>
      </c>
      <c r="M128" s="14"/>
      <c r="N128" s="15" t="s">
        <v>59</v>
      </c>
      <c r="O128" s="15" t="s">
        <v>4</v>
      </c>
      <c r="P128" s="16">
        <v>46320</v>
      </c>
    </row>
    <row r="129" spans="1:16" ht="90" customHeight="1">
      <c r="A129" s="14" t="s">
        <v>335</v>
      </c>
      <c r="B129" s="15" t="s">
        <v>20</v>
      </c>
      <c r="C129" s="15" t="s">
        <v>336</v>
      </c>
      <c r="D129" s="15" t="s">
        <v>304</v>
      </c>
      <c r="E129" s="15" t="s">
        <v>54</v>
      </c>
      <c r="F129" s="15" t="s">
        <v>55</v>
      </c>
      <c r="G129" s="15" t="s">
        <v>56</v>
      </c>
      <c r="H129" s="15" t="s">
        <v>336</v>
      </c>
      <c r="I129" s="15" t="s">
        <v>57</v>
      </c>
      <c r="J129" s="14" t="s">
        <v>14</v>
      </c>
      <c r="K129" s="14" t="s">
        <v>14</v>
      </c>
      <c r="L129" s="14" t="s">
        <v>58</v>
      </c>
      <c r="M129" s="14"/>
      <c r="N129" s="15" t="s">
        <v>59</v>
      </c>
      <c r="O129" s="15" t="s">
        <v>4</v>
      </c>
      <c r="P129" s="16">
        <v>46320</v>
      </c>
    </row>
    <row r="130" spans="1:16" ht="90" customHeight="1">
      <c r="A130" s="14" t="s">
        <v>337</v>
      </c>
      <c r="B130" s="15" t="s">
        <v>20</v>
      </c>
      <c r="C130" s="15" t="s">
        <v>338</v>
      </c>
      <c r="D130" s="15" t="s">
        <v>304</v>
      </c>
      <c r="E130" s="15" t="s">
        <v>54</v>
      </c>
      <c r="F130" s="15" t="s">
        <v>55</v>
      </c>
      <c r="G130" s="15" t="s">
        <v>56</v>
      </c>
      <c r="H130" s="15" t="s">
        <v>338</v>
      </c>
      <c r="I130" s="15" t="s">
        <v>57</v>
      </c>
      <c r="J130" s="14" t="s">
        <v>14</v>
      </c>
      <c r="K130" s="14" t="s">
        <v>14</v>
      </c>
      <c r="L130" s="14" t="s">
        <v>58</v>
      </c>
      <c r="M130" s="14"/>
      <c r="N130" s="15" t="s">
        <v>59</v>
      </c>
      <c r="O130" s="15" t="s">
        <v>4</v>
      </c>
      <c r="P130" s="16">
        <v>46320</v>
      </c>
    </row>
    <row r="131" spans="1:16" ht="90" customHeight="1">
      <c r="A131" s="14" t="s">
        <v>339</v>
      </c>
      <c r="B131" s="15" t="s">
        <v>20</v>
      </c>
      <c r="C131" s="15" t="s">
        <v>340</v>
      </c>
      <c r="D131" s="15" t="s">
        <v>304</v>
      </c>
      <c r="E131" s="15" t="s">
        <v>54</v>
      </c>
      <c r="F131" s="15" t="s">
        <v>55</v>
      </c>
      <c r="G131" s="15" t="s">
        <v>56</v>
      </c>
      <c r="H131" s="15" t="s">
        <v>340</v>
      </c>
      <c r="I131" s="15" t="s">
        <v>57</v>
      </c>
      <c r="J131" s="14" t="s">
        <v>14</v>
      </c>
      <c r="K131" s="14" t="s">
        <v>14</v>
      </c>
      <c r="L131" s="14" t="s">
        <v>58</v>
      </c>
      <c r="M131" s="14"/>
      <c r="N131" s="15" t="s">
        <v>59</v>
      </c>
      <c r="O131" s="15" t="s">
        <v>4</v>
      </c>
      <c r="P131" s="16">
        <v>46320</v>
      </c>
    </row>
    <row r="132" spans="1:16" ht="90" customHeight="1">
      <c r="A132" s="14" t="s">
        <v>341</v>
      </c>
      <c r="B132" s="15" t="s">
        <v>20</v>
      </c>
      <c r="C132" s="15" t="s">
        <v>342</v>
      </c>
      <c r="D132" s="15" t="s">
        <v>304</v>
      </c>
      <c r="E132" s="15" t="s">
        <v>54</v>
      </c>
      <c r="F132" s="15" t="s">
        <v>55</v>
      </c>
      <c r="G132" s="15" t="s">
        <v>56</v>
      </c>
      <c r="H132" s="15" t="s">
        <v>342</v>
      </c>
      <c r="I132" s="15" t="s">
        <v>57</v>
      </c>
      <c r="J132" s="14" t="s">
        <v>14</v>
      </c>
      <c r="K132" s="14" t="s">
        <v>14</v>
      </c>
      <c r="L132" s="14" t="s">
        <v>58</v>
      </c>
      <c r="M132" s="14"/>
      <c r="N132" s="15" t="s">
        <v>59</v>
      </c>
      <c r="O132" s="15" t="s">
        <v>4</v>
      </c>
      <c r="P132" s="16">
        <v>46320</v>
      </c>
    </row>
    <row r="133" spans="1:16" ht="90" customHeight="1">
      <c r="A133" s="14" t="s">
        <v>343</v>
      </c>
      <c r="B133" s="15" t="s">
        <v>20</v>
      </c>
      <c r="C133" s="15" t="s">
        <v>344</v>
      </c>
      <c r="D133" s="15" t="s">
        <v>304</v>
      </c>
      <c r="E133" s="15" t="s">
        <v>54</v>
      </c>
      <c r="F133" s="15" t="s">
        <v>55</v>
      </c>
      <c r="G133" s="15" t="s">
        <v>56</v>
      </c>
      <c r="H133" s="15" t="s">
        <v>344</v>
      </c>
      <c r="I133" s="15" t="s">
        <v>57</v>
      </c>
      <c r="J133" s="14" t="s">
        <v>14</v>
      </c>
      <c r="K133" s="14" t="s">
        <v>14</v>
      </c>
      <c r="L133" s="14" t="s">
        <v>58</v>
      </c>
      <c r="M133" s="14"/>
      <c r="N133" s="15" t="s">
        <v>59</v>
      </c>
      <c r="O133" s="15" t="s">
        <v>4</v>
      </c>
      <c r="P133" s="16">
        <v>46320</v>
      </c>
    </row>
    <row r="134" spans="1:16" ht="90" customHeight="1">
      <c r="A134" s="14" t="s">
        <v>345</v>
      </c>
      <c r="B134" s="15" t="s">
        <v>20</v>
      </c>
      <c r="C134" s="15" t="s">
        <v>346</v>
      </c>
      <c r="D134" s="15" t="s">
        <v>304</v>
      </c>
      <c r="E134" s="15" t="s">
        <v>54</v>
      </c>
      <c r="F134" s="15" t="s">
        <v>55</v>
      </c>
      <c r="G134" s="15" t="s">
        <v>56</v>
      </c>
      <c r="H134" s="15" t="s">
        <v>346</v>
      </c>
      <c r="I134" s="15" t="s">
        <v>57</v>
      </c>
      <c r="J134" s="14" t="s">
        <v>14</v>
      </c>
      <c r="K134" s="14" t="s">
        <v>14</v>
      </c>
      <c r="L134" s="14" t="s">
        <v>58</v>
      </c>
      <c r="M134" s="14"/>
      <c r="N134" s="15" t="s">
        <v>59</v>
      </c>
      <c r="O134" s="15" t="s">
        <v>4</v>
      </c>
      <c r="P134" s="16">
        <v>46320</v>
      </c>
    </row>
    <row r="135" spans="1:16" ht="90" customHeight="1">
      <c r="A135" s="14" t="s">
        <v>347</v>
      </c>
      <c r="B135" s="15" t="s">
        <v>20</v>
      </c>
      <c r="C135" s="15" t="s">
        <v>348</v>
      </c>
      <c r="D135" s="15" t="s">
        <v>304</v>
      </c>
      <c r="E135" s="15" t="s">
        <v>54</v>
      </c>
      <c r="F135" s="15" t="s">
        <v>55</v>
      </c>
      <c r="G135" s="15" t="s">
        <v>56</v>
      </c>
      <c r="H135" s="15" t="s">
        <v>348</v>
      </c>
      <c r="I135" s="15" t="s">
        <v>57</v>
      </c>
      <c r="J135" s="14" t="s">
        <v>14</v>
      </c>
      <c r="K135" s="14" t="s">
        <v>14</v>
      </c>
      <c r="L135" s="14" t="s">
        <v>58</v>
      </c>
      <c r="M135" s="14"/>
      <c r="N135" s="15" t="s">
        <v>59</v>
      </c>
      <c r="O135" s="15" t="s">
        <v>4</v>
      </c>
      <c r="P135" s="16">
        <v>46320</v>
      </c>
    </row>
    <row r="136" spans="1:16" ht="90" customHeight="1">
      <c r="A136" s="14" t="s">
        <v>349</v>
      </c>
      <c r="B136" s="15" t="s">
        <v>22</v>
      </c>
      <c r="C136" s="15" t="s">
        <v>258</v>
      </c>
      <c r="D136" s="15" t="s">
        <v>350</v>
      </c>
      <c r="E136" s="15" t="s">
        <v>351</v>
      </c>
      <c r="F136" s="15" t="s">
        <v>55</v>
      </c>
      <c r="G136" s="15" t="s">
        <v>56</v>
      </c>
      <c r="H136" s="15" t="s">
        <v>258</v>
      </c>
      <c r="I136" s="15" t="s">
        <v>352</v>
      </c>
      <c r="J136" s="14" t="s">
        <v>14</v>
      </c>
      <c r="K136" s="14" t="s">
        <v>14</v>
      </c>
      <c r="L136" s="14" t="s">
        <v>58</v>
      </c>
      <c r="M136" s="14"/>
      <c r="N136" s="15" t="s">
        <v>353</v>
      </c>
      <c r="O136" s="15" t="s">
        <v>4</v>
      </c>
      <c r="P136" s="16">
        <v>46320</v>
      </c>
    </row>
    <row r="137" spans="1:16" ht="108" customHeight="1">
      <c r="A137" s="14" t="s">
        <v>354</v>
      </c>
      <c r="B137" s="15" t="s">
        <v>22</v>
      </c>
      <c r="C137" s="15" t="s">
        <v>261</v>
      </c>
      <c r="D137" s="15" t="s">
        <v>350</v>
      </c>
      <c r="E137" s="15" t="s">
        <v>351</v>
      </c>
      <c r="F137" s="15" t="s">
        <v>55</v>
      </c>
      <c r="G137" s="15" t="s">
        <v>56</v>
      </c>
      <c r="H137" s="15" t="s">
        <v>261</v>
      </c>
      <c r="I137" s="15" t="s">
        <v>355</v>
      </c>
      <c r="J137" s="14" t="s">
        <v>14</v>
      </c>
      <c r="K137" s="14" t="s">
        <v>14</v>
      </c>
      <c r="L137" s="14" t="s">
        <v>58</v>
      </c>
      <c r="M137" s="14"/>
      <c r="N137" s="15" t="s">
        <v>353</v>
      </c>
      <c r="O137" s="15" t="s">
        <v>4</v>
      </c>
      <c r="P137" s="16">
        <v>46320</v>
      </c>
    </row>
    <row r="138" spans="1:16" ht="90" customHeight="1">
      <c r="A138" s="14" t="s">
        <v>356</v>
      </c>
      <c r="B138" s="15" t="s">
        <v>22</v>
      </c>
      <c r="C138" s="15" t="s">
        <v>264</v>
      </c>
      <c r="D138" s="15" t="s">
        <v>350</v>
      </c>
      <c r="E138" s="15" t="s">
        <v>351</v>
      </c>
      <c r="F138" s="15" t="s">
        <v>55</v>
      </c>
      <c r="G138" s="15" t="s">
        <v>56</v>
      </c>
      <c r="H138" s="15" t="s">
        <v>264</v>
      </c>
      <c r="I138" s="15" t="s">
        <v>352</v>
      </c>
      <c r="J138" s="14" t="s">
        <v>14</v>
      </c>
      <c r="K138" s="14" t="s">
        <v>14</v>
      </c>
      <c r="L138" s="14" t="s">
        <v>58</v>
      </c>
      <c r="M138" s="14"/>
      <c r="N138" s="15" t="s">
        <v>353</v>
      </c>
      <c r="O138" s="15" t="s">
        <v>4</v>
      </c>
      <c r="P138" s="16">
        <v>46320</v>
      </c>
    </row>
    <row r="139" spans="1:16" ht="90" customHeight="1">
      <c r="A139" s="14" t="s">
        <v>357</v>
      </c>
      <c r="B139" s="15" t="s">
        <v>22</v>
      </c>
      <c r="C139" s="15" t="s">
        <v>266</v>
      </c>
      <c r="D139" s="15" t="s">
        <v>350</v>
      </c>
      <c r="E139" s="15" t="s">
        <v>351</v>
      </c>
      <c r="F139" s="15" t="s">
        <v>55</v>
      </c>
      <c r="G139" s="15" t="s">
        <v>56</v>
      </c>
      <c r="H139" s="15" t="s">
        <v>266</v>
      </c>
      <c r="I139" s="15" t="s">
        <v>352</v>
      </c>
      <c r="J139" s="14" t="s">
        <v>14</v>
      </c>
      <c r="K139" s="14" t="s">
        <v>14</v>
      </c>
      <c r="L139" s="14" t="s">
        <v>58</v>
      </c>
      <c r="M139" s="14"/>
      <c r="N139" s="15" t="s">
        <v>353</v>
      </c>
      <c r="O139" s="15" t="s">
        <v>4</v>
      </c>
      <c r="P139" s="16">
        <v>46320</v>
      </c>
    </row>
    <row r="140" spans="1:16" ht="90" customHeight="1">
      <c r="A140" s="14" t="s">
        <v>358</v>
      </c>
      <c r="B140" s="15" t="s">
        <v>22</v>
      </c>
      <c r="C140" s="15" t="s">
        <v>268</v>
      </c>
      <c r="D140" s="15" t="s">
        <v>350</v>
      </c>
      <c r="E140" s="15" t="s">
        <v>351</v>
      </c>
      <c r="F140" s="15" t="s">
        <v>55</v>
      </c>
      <c r="G140" s="15" t="s">
        <v>56</v>
      </c>
      <c r="H140" s="15" t="s">
        <v>268</v>
      </c>
      <c r="I140" s="15" t="s">
        <v>352</v>
      </c>
      <c r="J140" s="14" t="s">
        <v>14</v>
      </c>
      <c r="K140" s="14" t="s">
        <v>14</v>
      </c>
      <c r="L140" s="14" t="s">
        <v>58</v>
      </c>
      <c r="M140" s="14"/>
      <c r="N140" s="15" t="s">
        <v>353</v>
      </c>
      <c r="O140" s="15" t="s">
        <v>4</v>
      </c>
      <c r="P140" s="16">
        <v>46320</v>
      </c>
    </row>
    <row r="141" spans="1:16" ht="90" customHeight="1">
      <c r="A141" s="14" t="s">
        <v>359</v>
      </c>
      <c r="B141" s="15" t="s">
        <v>22</v>
      </c>
      <c r="C141" s="15" t="s">
        <v>270</v>
      </c>
      <c r="D141" s="15" t="s">
        <v>350</v>
      </c>
      <c r="E141" s="15" t="s">
        <v>351</v>
      </c>
      <c r="F141" s="15" t="s">
        <v>55</v>
      </c>
      <c r="G141" s="15" t="s">
        <v>56</v>
      </c>
      <c r="H141" s="15" t="s">
        <v>270</v>
      </c>
      <c r="I141" s="15" t="s">
        <v>352</v>
      </c>
      <c r="J141" s="14" t="s">
        <v>14</v>
      </c>
      <c r="K141" s="14" t="s">
        <v>14</v>
      </c>
      <c r="L141" s="14" t="s">
        <v>58</v>
      </c>
      <c r="M141" s="14"/>
      <c r="N141" s="15" t="s">
        <v>353</v>
      </c>
      <c r="O141" s="15" t="s">
        <v>4</v>
      </c>
      <c r="P141" s="16">
        <v>46320</v>
      </c>
    </row>
    <row r="142" spans="1:16" ht="90" customHeight="1">
      <c r="A142" s="14" t="s">
        <v>360</v>
      </c>
      <c r="B142" s="15" t="s">
        <v>22</v>
      </c>
      <c r="C142" s="15" t="s">
        <v>272</v>
      </c>
      <c r="D142" s="15" t="s">
        <v>350</v>
      </c>
      <c r="E142" s="15" t="s">
        <v>351</v>
      </c>
      <c r="F142" s="15" t="s">
        <v>55</v>
      </c>
      <c r="G142" s="15" t="s">
        <v>56</v>
      </c>
      <c r="H142" s="15" t="s">
        <v>272</v>
      </c>
      <c r="I142" s="15" t="s">
        <v>352</v>
      </c>
      <c r="J142" s="14" t="s">
        <v>14</v>
      </c>
      <c r="K142" s="14" t="s">
        <v>14</v>
      </c>
      <c r="L142" s="14" t="s">
        <v>58</v>
      </c>
      <c r="M142" s="14"/>
      <c r="N142" s="15" t="s">
        <v>353</v>
      </c>
      <c r="O142" s="15" t="s">
        <v>4</v>
      </c>
      <c r="P142" s="16">
        <v>46320</v>
      </c>
    </row>
    <row r="143" spans="1:16" ht="90" customHeight="1">
      <c r="A143" s="14" t="s">
        <v>361</v>
      </c>
      <c r="B143" s="15" t="s">
        <v>22</v>
      </c>
      <c r="C143" s="15" t="s">
        <v>274</v>
      </c>
      <c r="D143" s="15" t="s">
        <v>350</v>
      </c>
      <c r="E143" s="15" t="s">
        <v>351</v>
      </c>
      <c r="F143" s="15" t="s">
        <v>55</v>
      </c>
      <c r="G143" s="15" t="s">
        <v>56</v>
      </c>
      <c r="H143" s="15" t="s">
        <v>274</v>
      </c>
      <c r="I143" s="15" t="s">
        <v>352</v>
      </c>
      <c r="J143" s="14" t="s">
        <v>14</v>
      </c>
      <c r="K143" s="14" t="s">
        <v>14</v>
      </c>
      <c r="L143" s="14" t="s">
        <v>58</v>
      </c>
      <c r="M143" s="14"/>
      <c r="N143" s="15" t="s">
        <v>353</v>
      </c>
      <c r="O143" s="15" t="s">
        <v>4</v>
      </c>
      <c r="P143" s="16">
        <v>46320</v>
      </c>
    </row>
    <row r="144" spans="1:16" ht="90" customHeight="1">
      <c r="A144" s="14" t="s">
        <v>362</v>
      </c>
      <c r="B144" s="15" t="s">
        <v>22</v>
      </c>
      <c r="C144" s="15" t="s">
        <v>276</v>
      </c>
      <c r="D144" s="15" t="s">
        <v>350</v>
      </c>
      <c r="E144" s="15" t="s">
        <v>351</v>
      </c>
      <c r="F144" s="15" t="s">
        <v>55</v>
      </c>
      <c r="G144" s="15" t="s">
        <v>56</v>
      </c>
      <c r="H144" s="15" t="s">
        <v>276</v>
      </c>
      <c r="I144" s="15" t="s">
        <v>352</v>
      </c>
      <c r="J144" s="14" t="s">
        <v>14</v>
      </c>
      <c r="K144" s="14" t="s">
        <v>14</v>
      </c>
      <c r="L144" s="14" t="s">
        <v>58</v>
      </c>
      <c r="M144" s="14"/>
      <c r="N144" s="15" t="s">
        <v>353</v>
      </c>
      <c r="O144" s="15" t="s">
        <v>4</v>
      </c>
      <c r="P144" s="16">
        <v>46320</v>
      </c>
    </row>
    <row r="145" spans="1:16" ht="90" customHeight="1">
      <c r="A145" s="14" t="s">
        <v>363</v>
      </c>
      <c r="B145" s="15" t="s">
        <v>22</v>
      </c>
      <c r="C145" s="15" t="s">
        <v>278</v>
      </c>
      <c r="D145" s="15" t="s">
        <v>350</v>
      </c>
      <c r="E145" s="15" t="s">
        <v>351</v>
      </c>
      <c r="F145" s="15" t="s">
        <v>55</v>
      </c>
      <c r="G145" s="15" t="s">
        <v>56</v>
      </c>
      <c r="H145" s="15" t="s">
        <v>278</v>
      </c>
      <c r="I145" s="15" t="s">
        <v>352</v>
      </c>
      <c r="J145" s="14" t="s">
        <v>14</v>
      </c>
      <c r="K145" s="14" t="s">
        <v>14</v>
      </c>
      <c r="L145" s="14" t="s">
        <v>58</v>
      </c>
      <c r="M145" s="14"/>
      <c r="N145" s="15" t="s">
        <v>353</v>
      </c>
      <c r="O145" s="15" t="s">
        <v>4</v>
      </c>
      <c r="P145" s="16">
        <v>46320</v>
      </c>
    </row>
    <row r="146" spans="1:16" ht="90" customHeight="1">
      <c r="A146" s="14" t="s">
        <v>364</v>
      </c>
      <c r="B146" s="15" t="s">
        <v>22</v>
      </c>
      <c r="C146" s="15" t="s">
        <v>280</v>
      </c>
      <c r="D146" s="15" t="s">
        <v>350</v>
      </c>
      <c r="E146" s="15" t="s">
        <v>351</v>
      </c>
      <c r="F146" s="15" t="s">
        <v>55</v>
      </c>
      <c r="G146" s="15" t="s">
        <v>56</v>
      </c>
      <c r="H146" s="15" t="s">
        <v>280</v>
      </c>
      <c r="I146" s="15" t="s">
        <v>352</v>
      </c>
      <c r="J146" s="14" t="s">
        <v>14</v>
      </c>
      <c r="K146" s="14" t="s">
        <v>14</v>
      </c>
      <c r="L146" s="14" t="s">
        <v>58</v>
      </c>
      <c r="M146" s="14"/>
      <c r="N146" s="15" t="s">
        <v>353</v>
      </c>
      <c r="O146" s="15" t="s">
        <v>4</v>
      </c>
      <c r="P146" s="16">
        <v>46320</v>
      </c>
    </row>
    <row r="147" spans="1:16" ht="90" customHeight="1">
      <c r="A147" s="14" t="s">
        <v>365</v>
      </c>
      <c r="B147" s="15" t="s">
        <v>22</v>
      </c>
      <c r="C147" s="15" t="s">
        <v>282</v>
      </c>
      <c r="D147" s="15" t="s">
        <v>350</v>
      </c>
      <c r="E147" s="15" t="s">
        <v>351</v>
      </c>
      <c r="F147" s="15" t="s">
        <v>55</v>
      </c>
      <c r="G147" s="15" t="s">
        <v>56</v>
      </c>
      <c r="H147" s="15" t="s">
        <v>282</v>
      </c>
      <c r="I147" s="15" t="s">
        <v>352</v>
      </c>
      <c r="J147" s="14" t="s">
        <v>14</v>
      </c>
      <c r="K147" s="14" t="s">
        <v>14</v>
      </c>
      <c r="L147" s="14" t="s">
        <v>58</v>
      </c>
      <c r="M147" s="14"/>
      <c r="N147" s="15" t="s">
        <v>353</v>
      </c>
      <c r="O147" s="15" t="s">
        <v>4</v>
      </c>
      <c r="P147" s="16">
        <v>46320</v>
      </c>
    </row>
    <row r="148" spans="1:16" ht="90" customHeight="1">
      <c r="A148" s="14" t="s">
        <v>366</v>
      </c>
      <c r="B148" s="15" t="s">
        <v>22</v>
      </c>
      <c r="C148" s="15" t="s">
        <v>284</v>
      </c>
      <c r="D148" s="15" t="s">
        <v>350</v>
      </c>
      <c r="E148" s="15" t="s">
        <v>351</v>
      </c>
      <c r="F148" s="15" t="s">
        <v>55</v>
      </c>
      <c r="G148" s="15" t="s">
        <v>56</v>
      </c>
      <c r="H148" s="15" t="s">
        <v>284</v>
      </c>
      <c r="I148" s="15" t="s">
        <v>352</v>
      </c>
      <c r="J148" s="14" t="s">
        <v>14</v>
      </c>
      <c r="K148" s="14" t="s">
        <v>14</v>
      </c>
      <c r="L148" s="14" t="s">
        <v>58</v>
      </c>
      <c r="M148" s="14"/>
      <c r="N148" s="15" t="s">
        <v>353</v>
      </c>
      <c r="O148" s="15" t="s">
        <v>4</v>
      </c>
      <c r="P148" s="16">
        <v>46320</v>
      </c>
    </row>
    <row r="149" spans="1:16" ht="90" customHeight="1">
      <c r="A149" s="14" t="s">
        <v>367</v>
      </c>
      <c r="B149" s="15" t="s">
        <v>22</v>
      </c>
      <c r="C149" s="15" t="s">
        <v>286</v>
      </c>
      <c r="D149" s="15" t="s">
        <v>350</v>
      </c>
      <c r="E149" s="15" t="s">
        <v>351</v>
      </c>
      <c r="F149" s="15" t="s">
        <v>55</v>
      </c>
      <c r="G149" s="15" t="s">
        <v>56</v>
      </c>
      <c r="H149" s="15" t="s">
        <v>286</v>
      </c>
      <c r="I149" s="15" t="s">
        <v>352</v>
      </c>
      <c r="J149" s="14" t="s">
        <v>14</v>
      </c>
      <c r="K149" s="14" t="s">
        <v>14</v>
      </c>
      <c r="L149" s="14" t="s">
        <v>58</v>
      </c>
      <c r="M149" s="14"/>
      <c r="N149" s="15" t="s">
        <v>353</v>
      </c>
      <c r="O149" s="15" t="s">
        <v>4</v>
      </c>
      <c r="P149" s="16">
        <v>46320</v>
      </c>
    </row>
    <row r="150" spans="1:16" ht="90" customHeight="1">
      <c r="A150" s="14" t="s">
        <v>368</v>
      </c>
      <c r="B150" s="15" t="s">
        <v>22</v>
      </c>
      <c r="C150" s="15" t="s">
        <v>303</v>
      </c>
      <c r="D150" s="15" t="s">
        <v>369</v>
      </c>
      <c r="E150" s="15" t="s">
        <v>351</v>
      </c>
      <c r="F150" s="15" t="s">
        <v>55</v>
      </c>
      <c r="G150" s="15" t="s">
        <v>56</v>
      </c>
      <c r="H150" s="15" t="s">
        <v>303</v>
      </c>
      <c r="I150" s="15" t="s">
        <v>352</v>
      </c>
      <c r="J150" s="14" t="s">
        <v>14</v>
      </c>
      <c r="K150" s="14" t="s">
        <v>14</v>
      </c>
      <c r="L150" s="14" t="s">
        <v>58</v>
      </c>
      <c r="M150" s="14"/>
      <c r="N150" s="15" t="s">
        <v>353</v>
      </c>
      <c r="O150" s="15" t="s">
        <v>4</v>
      </c>
      <c r="P150" s="16">
        <v>46320</v>
      </c>
    </row>
    <row r="151" spans="1:16" ht="90" customHeight="1">
      <c r="A151" s="14" t="s">
        <v>370</v>
      </c>
      <c r="B151" s="15" t="s">
        <v>22</v>
      </c>
      <c r="C151" s="15" t="s">
        <v>306</v>
      </c>
      <c r="D151" s="15" t="s">
        <v>369</v>
      </c>
      <c r="E151" s="15" t="s">
        <v>351</v>
      </c>
      <c r="F151" s="15" t="s">
        <v>55</v>
      </c>
      <c r="G151" s="15" t="s">
        <v>56</v>
      </c>
      <c r="H151" s="15" t="s">
        <v>306</v>
      </c>
      <c r="I151" s="15" t="s">
        <v>352</v>
      </c>
      <c r="J151" s="14" t="s">
        <v>14</v>
      </c>
      <c r="K151" s="14" t="s">
        <v>14</v>
      </c>
      <c r="L151" s="14" t="s">
        <v>58</v>
      </c>
      <c r="M151" s="14"/>
      <c r="N151" s="15" t="s">
        <v>353</v>
      </c>
      <c r="O151" s="15" t="s">
        <v>4</v>
      </c>
      <c r="P151" s="16">
        <v>46320</v>
      </c>
    </row>
    <row r="152" spans="1:16" ht="90" customHeight="1">
      <c r="A152" s="14" t="s">
        <v>371</v>
      </c>
      <c r="B152" s="15" t="s">
        <v>22</v>
      </c>
      <c r="C152" s="15" t="s">
        <v>308</v>
      </c>
      <c r="D152" s="15" t="s">
        <v>369</v>
      </c>
      <c r="E152" s="15" t="s">
        <v>351</v>
      </c>
      <c r="F152" s="15" t="s">
        <v>55</v>
      </c>
      <c r="G152" s="15" t="s">
        <v>56</v>
      </c>
      <c r="H152" s="15" t="s">
        <v>308</v>
      </c>
      <c r="I152" s="15" t="s">
        <v>352</v>
      </c>
      <c r="J152" s="14" t="s">
        <v>14</v>
      </c>
      <c r="K152" s="14" t="s">
        <v>14</v>
      </c>
      <c r="L152" s="14" t="s">
        <v>58</v>
      </c>
      <c r="M152" s="14"/>
      <c r="N152" s="15" t="s">
        <v>353</v>
      </c>
      <c r="O152" s="15" t="s">
        <v>4</v>
      </c>
      <c r="P152" s="16">
        <v>46320</v>
      </c>
    </row>
    <row r="153" spans="1:16" ht="90" customHeight="1">
      <c r="A153" s="14" t="s">
        <v>372</v>
      </c>
      <c r="B153" s="15" t="s">
        <v>22</v>
      </c>
      <c r="C153" s="15" t="s">
        <v>310</v>
      </c>
      <c r="D153" s="15" t="s">
        <v>369</v>
      </c>
      <c r="E153" s="15" t="s">
        <v>351</v>
      </c>
      <c r="F153" s="15" t="s">
        <v>55</v>
      </c>
      <c r="G153" s="15" t="s">
        <v>56</v>
      </c>
      <c r="H153" s="15" t="s">
        <v>310</v>
      </c>
      <c r="I153" s="15" t="s">
        <v>352</v>
      </c>
      <c r="J153" s="14" t="s">
        <v>14</v>
      </c>
      <c r="K153" s="14" t="s">
        <v>14</v>
      </c>
      <c r="L153" s="14" t="s">
        <v>58</v>
      </c>
      <c r="M153" s="14"/>
      <c r="N153" s="15" t="s">
        <v>353</v>
      </c>
      <c r="O153" s="15" t="s">
        <v>4</v>
      </c>
      <c r="P153" s="16">
        <v>46320</v>
      </c>
    </row>
    <row r="154" spans="1:16" ht="90" customHeight="1">
      <c r="A154" s="14" t="s">
        <v>373</v>
      </c>
      <c r="B154" s="15" t="s">
        <v>22</v>
      </c>
      <c r="C154" s="15" t="s">
        <v>312</v>
      </c>
      <c r="D154" s="15" t="s">
        <v>369</v>
      </c>
      <c r="E154" s="15" t="s">
        <v>351</v>
      </c>
      <c r="F154" s="15" t="s">
        <v>55</v>
      </c>
      <c r="G154" s="15" t="s">
        <v>56</v>
      </c>
      <c r="H154" s="15" t="s">
        <v>312</v>
      </c>
      <c r="I154" s="15" t="s">
        <v>352</v>
      </c>
      <c r="J154" s="14" t="s">
        <v>14</v>
      </c>
      <c r="K154" s="14" t="s">
        <v>14</v>
      </c>
      <c r="L154" s="14" t="s">
        <v>58</v>
      </c>
      <c r="M154" s="14"/>
      <c r="N154" s="15" t="s">
        <v>353</v>
      </c>
      <c r="O154" s="15" t="s">
        <v>4</v>
      </c>
      <c r="P154" s="16">
        <v>46320</v>
      </c>
    </row>
    <row r="155" spans="1:16" ht="90" customHeight="1">
      <c r="A155" s="14" t="s">
        <v>374</v>
      </c>
      <c r="B155" s="15" t="s">
        <v>22</v>
      </c>
      <c r="C155" s="15" t="s">
        <v>314</v>
      </c>
      <c r="D155" s="15" t="s">
        <v>369</v>
      </c>
      <c r="E155" s="15" t="s">
        <v>351</v>
      </c>
      <c r="F155" s="15" t="s">
        <v>55</v>
      </c>
      <c r="G155" s="15" t="s">
        <v>56</v>
      </c>
      <c r="H155" s="15" t="s">
        <v>314</v>
      </c>
      <c r="I155" s="15" t="s">
        <v>352</v>
      </c>
      <c r="J155" s="14" t="s">
        <v>14</v>
      </c>
      <c r="K155" s="14" t="s">
        <v>14</v>
      </c>
      <c r="L155" s="14" t="s">
        <v>58</v>
      </c>
      <c r="M155" s="14"/>
      <c r="N155" s="15" t="s">
        <v>353</v>
      </c>
      <c r="O155" s="15" t="s">
        <v>4</v>
      </c>
      <c r="P155" s="16">
        <v>46320</v>
      </c>
    </row>
    <row r="156" spans="1:16" ht="90" customHeight="1">
      <c r="A156" s="14" t="s">
        <v>375</v>
      </c>
      <c r="B156" s="15" t="s">
        <v>22</v>
      </c>
      <c r="C156" s="15" t="s">
        <v>316</v>
      </c>
      <c r="D156" s="15" t="s">
        <v>369</v>
      </c>
      <c r="E156" s="15" t="s">
        <v>351</v>
      </c>
      <c r="F156" s="15" t="s">
        <v>55</v>
      </c>
      <c r="G156" s="15" t="s">
        <v>56</v>
      </c>
      <c r="H156" s="15" t="s">
        <v>316</v>
      </c>
      <c r="I156" s="15" t="s">
        <v>352</v>
      </c>
      <c r="J156" s="14" t="s">
        <v>14</v>
      </c>
      <c r="K156" s="14" t="s">
        <v>14</v>
      </c>
      <c r="L156" s="14" t="s">
        <v>58</v>
      </c>
      <c r="M156" s="14"/>
      <c r="N156" s="15" t="s">
        <v>353</v>
      </c>
      <c r="O156" s="15" t="s">
        <v>4</v>
      </c>
      <c r="P156" s="16">
        <v>46320</v>
      </c>
    </row>
    <row r="157" spans="1:16" ht="90" customHeight="1">
      <c r="A157" s="14" t="s">
        <v>376</v>
      </c>
      <c r="B157" s="15" t="s">
        <v>22</v>
      </c>
      <c r="C157" s="15" t="s">
        <v>318</v>
      </c>
      <c r="D157" s="15" t="s">
        <v>369</v>
      </c>
      <c r="E157" s="15" t="s">
        <v>351</v>
      </c>
      <c r="F157" s="15" t="s">
        <v>55</v>
      </c>
      <c r="G157" s="15" t="s">
        <v>56</v>
      </c>
      <c r="H157" s="15" t="s">
        <v>318</v>
      </c>
      <c r="I157" s="15" t="s">
        <v>352</v>
      </c>
      <c r="J157" s="14" t="s">
        <v>14</v>
      </c>
      <c r="K157" s="14" t="s">
        <v>14</v>
      </c>
      <c r="L157" s="14" t="s">
        <v>58</v>
      </c>
      <c r="M157" s="14"/>
      <c r="N157" s="15" t="s">
        <v>353</v>
      </c>
      <c r="O157" s="15" t="s">
        <v>4</v>
      </c>
      <c r="P157" s="16">
        <v>46320</v>
      </c>
    </row>
    <row r="158" spans="1:16" ht="90" customHeight="1">
      <c r="A158" s="14" t="s">
        <v>377</v>
      </c>
      <c r="B158" s="15" t="s">
        <v>22</v>
      </c>
      <c r="C158" s="15" t="s">
        <v>320</v>
      </c>
      <c r="D158" s="15" t="s">
        <v>369</v>
      </c>
      <c r="E158" s="15" t="s">
        <v>351</v>
      </c>
      <c r="F158" s="15" t="s">
        <v>55</v>
      </c>
      <c r="G158" s="15" t="s">
        <v>56</v>
      </c>
      <c r="H158" s="15" t="s">
        <v>320</v>
      </c>
      <c r="I158" s="15" t="s">
        <v>352</v>
      </c>
      <c r="J158" s="14" t="s">
        <v>14</v>
      </c>
      <c r="K158" s="14" t="s">
        <v>14</v>
      </c>
      <c r="L158" s="14" t="s">
        <v>58</v>
      </c>
      <c r="M158" s="14"/>
      <c r="N158" s="15" t="s">
        <v>353</v>
      </c>
      <c r="O158" s="15" t="s">
        <v>4</v>
      </c>
      <c r="P158" s="16">
        <v>46320</v>
      </c>
    </row>
    <row r="159" spans="1:16" ht="90" customHeight="1">
      <c r="A159" s="14" t="s">
        <v>378</v>
      </c>
      <c r="B159" s="15" t="s">
        <v>22</v>
      </c>
      <c r="C159" s="15" t="s">
        <v>322</v>
      </c>
      <c r="D159" s="15" t="s">
        <v>369</v>
      </c>
      <c r="E159" s="15" t="s">
        <v>351</v>
      </c>
      <c r="F159" s="15" t="s">
        <v>55</v>
      </c>
      <c r="G159" s="15" t="s">
        <v>56</v>
      </c>
      <c r="H159" s="15" t="s">
        <v>322</v>
      </c>
      <c r="I159" s="15" t="s">
        <v>352</v>
      </c>
      <c r="J159" s="14" t="s">
        <v>14</v>
      </c>
      <c r="K159" s="14" t="s">
        <v>14</v>
      </c>
      <c r="L159" s="14" t="s">
        <v>58</v>
      </c>
      <c r="M159" s="14"/>
      <c r="N159" s="15" t="s">
        <v>353</v>
      </c>
      <c r="O159" s="15" t="s">
        <v>4</v>
      </c>
      <c r="P159" s="16">
        <v>46320</v>
      </c>
    </row>
    <row r="160" spans="1:16" ht="90" customHeight="1">
      <c r="A160" s="14" t="s">
        <v>379</v>
      </c>
      <c r="B160" s="15" t="s">
        <v>22</v>
      </c>
      <c r="C160" s="15" t="s">
        <v>324</v>
      </c>
      <c r="D160" s="15" t="s">
        <v>369</v>
      </c>
      <c r="E160" s="15" t="s">
        <v>351</v>
      </c>
      <c r="F160" s="15" t="s">
        <v>55</v>
      </c>
      <c r="G160" s="15" t="s">
        <v>56</v>
      </c>
      <c r="H160" s="15" t="s">
        <v>324</v>
      </c>
      <c r="I160" s="15" t="s">
        <v>352</v>
      </c>
      <c r="J160" s="14" t="s">
        <v>14</v>
      </c>
      <c r="K160" s="14" t="s">
        <v>14</v>
      </c>
      <c r="L160" s="14" t="s">
        <v>58</v>
      </c>
      <c r="M160" s="14"/>
      <c r="N160" s="15" t="s">
        <v>353</v>
      </c>
      <c r="O160" s="15" t="s">
        <v>4</v>
      </c>
      <c r="P160" s="16">
        <v>46320</v>
      </c>
    </row>
    <row r="161" spans="1:16" ht="90" customHeight="1">
      <c r="A161" s="14" t="s">
        <v>380</v>
      </c>
      <c r="B161" s="15" t="s">
        <v>22</v>
      </c>
      <c r="C161" s="15" t="s">
        <v>326</v>
      </c>
      <c r="D161" s="15" t="s">
        <v>369</v>
      </c>
      <c r="E161" s="15" t="s">
        <v>351</v>
      </c>
      <c r="F161" s="15" t="s">
        <v>55</v>
      </c>
      <c r="G161" s="15" t="s">
        <v>56</v>
      </c>
      <c r="H161" s="15" t="s">
        <v>326</v>
      </c>
      <c r="I161" s="15" t="s">
        <v>352</v>
      </c>
      <c r="J161" s="14" t="s">
        <v>14</v>
      </c>
      <c r="K161" s="14" t="s">
        <v>14</v>
      </c>
      <c r="L161" s="14" t="s">
        <v>58</v>
      </c>
      <c r="M161" s="14"/>
      <c r="N161" s="15" t="s">
        <v>353</v>
      </c>
      <c r="O161" s="15" t="s">
        <v>4</v>
      </c>
      <c r="P161" s="16">
        <v>46320</v>
      </c>
    </row>
    <row r="162" spans="1:16" ht="90" customHeight="1">
      <c r="A162" s="14" t="s">
        <v>381</v>
      </c>
      <c r="B162" s="15" t="s">
        <v>22</v>
      </c>
      <c r="C162" s="15" t="s">
        <v>328</v>
      </c>
      <c r="D162" s="15" t="s">
        <v>369</v>
      </c>
      <c r="E162" s="15" t="s">
        <v>351</v>
      </c>
      <c r="F162" s="15" t="s">
        <v>55</v>
      </c>
      <c r="G162" s="15" t="s">
        <v>56</v>
      </c>
      <c r="H162" s="15" t="s">
        <v>328</v>
      </c>
      <c r="I162" s="15" t="s">
        <v>352</v>
      </c>
      <c r="J162" s="14" t="s">
        <v>14</v>
      </c>
      <c r="K162" s="14" t="s">
        <v>14</v>
      </c>
      <c r="L162" s="14" t="s">
        <v>58</v>
      </c>
      <c r="M162" s="14"/>
      <c r="N162" s="15" t="s">
        <v>353</v>
      </c>
      <c r="O162" s="15" t="s">
        <v>4</v>
      </c>
      <c r="P162" s="16">
        <v>46320</v>
      </c>
    </row>
    <row r="163" spans="1:16" ht="90" customHeight="1">
      <c r="A163" s="14" t="s">
        <v>382</v>
      </c>
      <c r="B163" s="15" t="s">
        <v>22</v>
      </c>
      <c r="C163" s="15" t="s">
        <v>330</v>
      </c>
      <c r="D163" s="15" t="s">
        <v>369</v>
      </c>
      <c r="E163" s="15" t="s">
        <v>351</v>
      </c>
      <c r="F163" s="15" t="s">
        <v>55</v>
      </c>
      <c r="G163" s="15" t="s">
        <v>56</v>
      </c>
      <c r="H163" s="15" t="s">
        <v>330</v>
      </c>
      <c r="I163" s="15" t="s">
        <v>352</v>
      </c>
      <c r="J163" s="14" t="s">
        <v>14</v>
      </c>
      <c r="K163" s="14" t="s">
        <v>14</v>
      </c>
      <c r="L163" s="14" t="s">
        <v>58</v>
      </c>
      <c r="M163" s="14"/>
      <c r="N163" s="15" t="s">
        <v>353</v>
      </c>
      <c r="O163" s="15" t="s">
        <v>4</v>
      </c>
      <c r="P163" s="16">
        <v>46320</v>
      </c>
    </row>
    <row r="164" spans="1:16" ht="90" customHeight="1">
      <c r="A164" s="14" t="s">
        <v>383</v>
      </c>
      <c r="B164" s="15" t="s">
        <v>22</v>
      </c>
      <c r="C164" s="15" t="s">
        <v>332</v>
      </c>
      <c r="D164" s="15" t="s">
        <v>369</v>
      </c>
      <c r="E164" s="15" t="s">
        <v>351</v>
      </c>
      <c r="F164" s="15" t="s">
        <v>55</v>
      </c>
      <c r="G164" s="15" t="s">
        <v>56</v>
      </c>
      <c r="H164" s="15" t="s">
        <v>332</v>
      </c>
      <c r="I164" s="15" t="s">
        <v>352</v>
      </c>
      <c r="J164" s="14" t="s">
        <v>14</v>
      </c>
      <c r="K164" s="14" t="s">
        <v>14</v>
      </c>
      <c r="L164" s="14" t="s">
        <v>58</v>
      </c>
      <c r="M164" s="14"/>
      <c r="N164" s="15" t="s">
        <v>353</v>
      </c>
      <c r="O164" s="15" t="s">
        <v>4</v>
      </c>
      <c r="P164" s="16">
        <v>46320</v>
      </c>
    </row>
    <row r="165" spans="1:16" ht="90" customHeight="1">
      <c r="A165" s="14" t="s">
        <v>384</v>
      </c>
      <c r="B165" s="15" t="s">
        <v>22</v>
      </c>
      <c r="C165" s="15" t="s">
        <v>334</v>
      </c>
      <c r="D165" s="15" t="s">
        <v>369</v>
      </c>
      <c r="E165" s="15" t="s">
        <v>351</v>
      </c>
      <c r="F165" s="15" t="s">
        <v>55</v>
      </c>
      <c r="G165" s="15" t="s">
        <v>56</v>
      </c>
      <c r="H165" s="15" t="s">
        <v>334</v>
      </c>
      <c r="I165" s="15" t="s">
        <v>352</v>
      </c>
      <c r="J165" s="14" t="s">
        <v>14</v>
      </c>
      <c r="K165" s="14" t="s">
        <v>14</v>
      </c>
      <c r="L165" s="14" t="s">
        <v>58</v>
      </c>
      <c r="M165" s="14"/>
      <c r="N165" s="15" t="s">
        <v>353</v>
      </c>
      <c r="O165" s="15" t="s">
        <v>4</v>
      </c>
      <c r="P165" s="16">
        <v>46320</v>
      </c>
    </row>
    <row r="166" spans="1:16" ht="90" customHeight="1">
      <c r="A166" s="14" t="s">
        <v>385</v>
      </c>
      <c r="B166" s="15" t="s">
        <v>22</v>
      </c>
      <c r="C166" s="15" t="s">
        <v>336</v>
      </c>
      <c r="D166" s="15" t="s">
        <v>369</v>
      </c>
      <c r="E166" s="15" t="s">
        <v>351</v>
      </c>
      <c r="F166" s="15" t="s">
        <v>55</v>
      </c>
      <c r="G166" s="15" t="s">
        <v>56</v>
      </c>
      <c r="H166" s="15" t="s">
        <v>336</v>
      </c>
      <c r="I166" s="15" t="s">
        <v>352</v>
      </c>
      <c r="J166" s="14" t="s">
        <v>14</v>
      </c>
      <c r="K166" s="14" t="s">
        <v>14</v>
      </c>
      <c r="L166" s="14" t="s">
        <v>58</v>
      </c>
      <c r="M166" s="14"/>
      <c r="N166" s="15" t="s">
        <v>353</v>
      </c>
      <c r="O166" s="15" t="s">
        <v>4</v>
      </c>
      <c r="P166" s="16">
        <v>46320</v>
      </c>
    </row>
    <row r="167" spans="1:16" ht="90" customHeight="1">
      <c r="A167" s="14" t="s">
        <v>386</v>
      </c>
      <c r="B167" s="15" t="s">
        <v>22</v>
      </c>
      <c r="C167" s="15" t="s">
        <v>338</v>
      </c>
      <c r="D167" s="15" t="s">
        <v>369</v>
      </c>
      <c r="E167" s="15" t="s">
        <v>351</v>
      </c>
      <c r="F167" s="15" t="s">
        <v>55</v>
      </c>
      <c r="G167" s="15" t="s">
        <v>56</v>
      </c>
      <c r="H167" s="15" t="s">
        <v>338</v>
      </c>
      <c r="I167" s="15" t="s">
        <v>352</v>
      </c>
      <c r="J167" s="14" t="s">
        <v>14</v>
      </c>
      <c r="K167" s="14" t="s">
        <v>14</v>
      </c>
      <c r="L167" s="14" t="s">
        <v>58</v>
      </c>
      <c r="M167" s="14"/>
      <c r="N167" s="15" t="s">
        <v>353</v>
      </c>
      <c r="O167" s="15" t="s">
        <v>4</v>
      </c>
      <c r="P167" s="16">
        <v>46320</v>
      </c>
    </row>
    <row r="168" spans="1:16" ht="90" customHeight="1">
      <c r="A168" s="14" t="s">
        <v>387</v>
      </c>
      <c r="B168" s="15" t="s">
        <v>22</v>
      </c>
      <c r="C168" s="15" t="s">
        <v>340</v>
      </c>
      <c r="D168" s="15" t="s">
        <v>369</v>
      </c>
      <c r="E168" s="15" t="s">
        <v>351</v>
      </c>
      <c r="F168" s="15" t="s">
        <v>55</v>
      </c>
      <c r="G168" s="15" t="s">
        <v>56</v>
      </c>
      <c r="H168" s="15" t="s">
        <v>340</v>
      </c>
      <c r="I168" s="15" t="s">
        <v>352</v>
      </c>
      <c r="J168" s="14" t="s">
        <v>14</v>
      </c>
      <c r="K168" s="14" t="s">
        <v>14</v>
      </c>
      <c r="L168" s="14" t="s">
        <v>58</v>
      </c>
      <c r="M168" s="14"/>
      <c r="N168" s="15" t="s">
        <v>353</v>
      </c>
      <c r="O168" s="15" t="s">
        <v>4</v>
      </c>
      <c r="P168" s="16">
        <v>46320</v>
      </c>
    </row>
    <row r="169" spans="1:16" ht="90" customHeight="1">
      <c r="A169" s="14" t="s">
        <v>388</v>
      </c>
      <c r="B169" s="15" t="s">
        <v>22</v>
      </c>
      <c r="C169" s="15" t="s">
        <v>342</v>
      </c>
      <c r="D169" s="15" t="s">
        <v>369</v>
      </c>
      <c r="E169" s="15" t="s">
        <v>351</v>
      </c>
      <c r="F169" s="15" t="s">
        <v>55</v>
      </c>
      <c r="G169" s="15" t="s">
        <v>56</v>
      </c>
      <c r="H169" s="15" t="s">
        <v>342</v>
      </c>
      <c r="I169" s="15" t="s">
        <v>352</v>
      </c>
      <c r="J169" s="14" t="s">
        <v>14</v>
      </c>
      <c r="K169" s="14" t="s">
        <v>14</v>
      </c>
      <c r="L169" s="14" t="s">
        <v>58</v>
      </c>
      <c r="M169" s="14"/>
      <c r="N169" s="15" t="s">
        <v>353</v>
      </c>
      <c r="O169" s="15" t="s">
        <v>4</v>
      </c>
      <c r="P169" s="16">
        <v>46320</v>
      </c>
    </row>
    <row r="170" spans="1:16" ht="90" customHeight="1">
      <c r="A170" s="14" t="s">
        <v>389</v>
      </c>
      <c r="B170" s="15" t="s">
        <v>22</v>
      </c>
      <c r="C170" s="15" t="s">
        <v>344</v>
      </c>
      <c r="D170" s="15" t="s">
        <v>369</v>
      </c>
      <c r="E170" s="15" t="s">
        <v>351</v>
      </c>
      <c r="F170" s="15" t="s">
        <v>55</v>
      </c>
      <c r="G170" s="15" t="s">
        <v>56</v>
      </c>
      <c r="H170" s="15" t="s">
        <v>344</v>
      </c>
      <c r="I170" s="15" t="s">
        <v>352</v>
      </c>
      <c r="J170" s="14" t="s">
        <v>14</v>
      </c>
      <c r="K170" s="14" t="s">
        <v>14</v>
      </c>
      <c r="L170" s="14" t="s">
        <v>58</v>
      </c>
      <c r="M170" s="14"/>
      <c r="N170" s="15" t="s">
        <v>353</v>
      </c>
      <c r="O170" s="15" t="s">
        <v>4</v>
      </c>
      <c r="P170" s="16">
        <v>46320</v>
      </c>
    </row>
    <row r="171" spans="1:16" ht="90" customHeight="1">
      <c r="A171" s="14" t="s">
        <v>390</v>
      </c>
      <c r="B171" s="15" t="s">
        <v>22</v>
      </c>
      <c r="C171" s="15" t="s">
        <v>346</v>
      </c>
      <c r="D171" s="15" t="s">
        <v>369</v>
      </c>
      <c r="E171" s="15" t="s">
        <v>351</v>
      </c>
      <c r="F171" s="15" t="s">
        <v>55</v>
      </c>
      <c r="G171" s="15" t="s">
        <v>56</v>
      </c>
      <c r="H171" s="15" t="s">
        <v>346</v>
      </c>
      <c r="I171" s="15" t="s">
        <v>352</v>
      </c>
      <c r="J171" s="14" t="s">
        <v>14</v>
      </c>
      <c r="K171" s="14" t="s">
        <v>15</v>
      </c>
      <c r="L171" s="14" t="s">
        <v>58</v>
      </c>
      <c r="M171" s="14" t="s">
        <v>391</v>
      </c>
      <c r="N171" s="15" t="s">
        <v>353</v>
      </c>
      <c r="O171" s="15" t="s">
        <v>4</v>
      </c>
      <c r="P171" s="16">
        <v>46320</v>
      </c>
    </row>
    <row r="172" spans="1:16" ht="90" customHeight="1">
      <c r="A172" s="14" t="s">
        <v>392</v>
      </c>
      <c r="B172" s="15" t="s">
        <v>22</v>
      </c>
      <c r="C172" s="15" t="s">
        <v>348</v>
      </c>
      <c r="D172" s="15" t="s">
        <v>369</v>
      </c>
      <c r="E172" s="15" t="s">
        <v>351</v>
      </c>
      <c r="F172" s="15" t="s">
        <v>55</v>
      </c>
      <c r="G172" s="15" t="s">
        <v>56</v>
      </c>
      <c r="H172" s="15" t="s">
        <v>348</v>
      </c>
      <c r="I172" s="15" t="s">
        <v>352</v>
      </c>
      <c r="J172" s="14" t="s">
        <v>14</v>
      </c>
      <c r="K172" s="14" t="s">
        <v>14</v>
      </c>
      <c r="L172" s="14" t="s">
        <v>58</v>
      </c>
      <c r="M172" s="14"/>
      <c r="N172" s="15" t="s">
        <v>353</v>
      </c>
      <c r="O172" s="15" t="s">
        <v>4</v>
      </c>
      <c r="P172" s="16">
        <v>46320</v>
      </c>
    </row>
    <row r="173" spans="1:16" ht="126" customHeight="1">
      <c r="A173" s="14" t="s">
        <v>393</v>
      </c>
      <c r="B173" s="15" t="s">
        <v>24</v>
      </c>
      <c r="C173" s="15" t="s">
        <v>394</v>
      </c>
      <c r="D173" s="15" t="s">
        <v>395</v>
      </c>
      <c r="E173" s="15" t="s">
        <v>396</v>
      </c>
      <c r="F173" s="15" t="s">
        <v>55</v>
      </c>
      <c r="G173" s="15" t="s">
        <v>56</v>
      </c>
      <c r="H173" s="15" t="s">
        <v>394</v>
      </c>
      <c r="I173" s="15" t="s">
        <v>397</v>
      </c>
      <c r="J173" s="14" t="s">
        <v>14</v>
      </c>
      <c r="K173" s="14" t="s">
        <v>14</v>
      </c>
      <c r="L173" s="14" t="s">
        <v>58</v>
      </c>
      <c r="M173" s="14"/>
      <c r="N173" s="15" t="s">
        <v>398</v>
      </c>
      <c r="O173" s="15" t="s">
        <v>4</v>
      </c>
      <c r="P173" s="16">
        <v>46320</v>
      </c>
    </row>
    <row r="174" spans="1:16" ht="126" customHeight="1">
      <c r="A174" s="14" t="s">
        <v>399</v>
      </c>
      <c r="B174" s="15" t="s">
        <v>24</v>
      </c>
      <c r="C174" s="15" t="s">
        <v>400</v>
      </c>
      <c r="D174" s="15" t="s">
        <v>395</v>
      </c>
      <c r="E174" s="15" t="s">
        <v>396</v>
      </c>
      <c r="F174" s="15" t="s">
        <v>55</v>
      </c>
      <c r="G174" s="15" t="s">
        <v>56</v>
      </c>
      <c r="H174" s="15" t="s">
        <v>400</v>
      </c>
      <c r="I174" s="15" t="s">
        <v>397</v>
      </c>
      <c r="J174" s="14" t="s">
        <v>14</v>
      </c>
      <c r="K174" s="14" t="s">
        <v>14</v>
      </c>
      <c r="L174" s="14" t="s">
        <v>58</v>
      </c>
      <c r="M174" s="14"/>
      <c r="N174" s="15" t="s">
        <v>398</v>
      </c>
      <c r="O174" s="15" t="s">
        <v>4</v>
      </c>
      <c r="P174" s="16">
        <v>46320</v>
      </c>
    </row>
    <row r="175" spans="1:16" ht="126" customHeight="1">
      <c r="A175" s="14" t="s">
        <v>401</v>
      </c>
      <c r="B175" s="15" t="s">
        <v>24</v>
      </c>
      <c r="C175" s="15" t="s">
        <v>402</v>
      </c>
      <c r="D175" s="15" t="s">
        <v>395</v>
      </c>
      <c r="E175" s="15" t="s">
        <v>396</v>
      </c>
      <c r="F175" s="15" t="s">
        <v>55</v>
      </c>
      <c r="G175" s="15" t="s">
        <v>56</v>
      </c>
      <c r="H175" s="15" t="s">
        <v>402</v>
      </c>
      <c r="I175" s="15" t="s">
        <v>397</v>
      </c>
      <c r="J175" s="14" t="s">
        <v>14</v>
      </c>
      <c r="K175" s="14" t="s">
        <v>14</v>
      </c>
      <c r="L175" s="14" t="s">
        <v>58</v>
      </c>
      <c r="M175" s="14"/>
      <c r="N175" s="15" t="s">
        <v>398</v>
      </c>
      <c r="O175" s="15" t="s">
        <v>4</v>
      </c>
      <c r="P175" s="16">
        <v>46320</v>
      </c>
    </row>
    <row r="176" spans="1:16" ht="126" customHeight="1">
      <c r="A176" s="14" t="s">
        <v>403</v>
      </c>
      <c r="B176" s="15" t="s">
        <v>24</v>
      </c>
      <c r="C176" s="15" t="s">
        <v>404</v>
      </c>
      <c r="D176" s="15" t="s">
        <v>405</v>
      </c>
      <c r="E176" s="15" t="s">
        <v>396</v>
      </c>
      <c r="F176" s="15" t="s">
        <v>55</v>
      </c>
      <c r="G176" s="15" t="s">
        <v>56</v>
      </c>
      <c r="H176" s="15" t="s">
        <v>404</v>
      </c>
      <c r="I176" s="15" t="s">
        <v>397</v>
      </c>
      <c r="J176" s="14" t="s">
        <v>14</v>
      </c>
      <c r="K176" s="14" t="s">
        <v>14</v>
      </c>
      <c r="L176" s="14" t="s">
        <v>58</v>
      </c>
      <c r="M176" s="14"/>
      <c r="N176" s="15" t="s">
        <v>398</v>
      </c>
      <c r="O176" s="15" t="s">
        <v>4</v>
      </c>
      <c r="P176" s="16">
        <v>46320</v>
      </c>
    </row>
    <row r="177" spans="1:16" ht="126" customHeight="1">
      <c r="A177" s="14" t="s">
        <v>406</v>
      </c>
      <c r="B177" s="15" t="s">
        <v>24</v>
      </c>
      <c r="C177" s="15" t="s">
        <v>407</v>
      </c>
      <c r="D177" s="15" t="s">
        <v>405</v>
      </c>
      <c r="E177" s="15" t="s">
        <v>396</v>
      </c>
      <c r="F177" s="15" t="s">
        <v>55</v>
      </c>
      <c r="G177" s="15" t="s">
        <v>56</v>
      </c>
      <c r="H177" s="15" t="s">
        <v>407</v>
      </c>
      <c r="I177" s="15" t="s">
        <v>397</v>
      </c>
      <c r="J177" s="14" t="s">
        <v>14</v>
      </c>
      <c r="K177" s="14" t="s">
        <v>14</v>
      </c>
      <c r="L177" s="14" t="s">
        <v>58</v>
      </c>
      <c r="M177" s="14"/>
      <c r="N177" s="15" t="s">
        <v>398</v>
      </c>
      <c r="O177" s="15" t="s">
        <v>4</v>
      </c>
      <c r="P177" s="16">
        <v>46320</v>
      </c>
    </row>
    <row r="178" spans="1:16" ht="126" customHeight="1">
      <c r="A178" s="14" t="s">
        <v>408</v>
      </c>
      <c r="B178" s="15" t="s">
        <v>24</v>
      </c>
      <c r="C178" s="15" t="s">
        <v>409</v>
      </c>
      <c r="D178" s="15" t="s">
        <v>405</v>
      </c>
      <c r="E178" s="15" t="s">
        <v>396</v>
      </c>
      <c r="F178" s="15" t="s">
        <v>55</v>
      </c>
      <c r="G178" s="15" t="s">
        <v>56</v>
      </c>
      <c r="H178" s="15" t="s">
        <v>409</v>
      </c>
      <c r="I178" s="15" t="s">
        <v>397</v>
      </c>
      <c r="J178" s="14" t="s">
        <v>14</v>
      </c>
      <c r="K178" s="14" t="s">
        <v>14</v>
      </c>
      <c r="L178" s="14" t="s">
        <v>58</v>
      </c>
      <c r="M178" s="14"/>
      <c r="N178" s="15" t="s">
        <v>398</v>
      </c>
      <c r="O178" s="15" t="s">
        <v>4</v>
      </c>
      <c r="P178" s="16">
        <v>46320</v>
      </c>
    </row>
    <row r="179" spans="1:16" ht="126" customHeight="1">
      <c r="A179" s="14" t="s">
        <v>410</v>
      </c>
      <c r="B179" s="15" t="s">
        <v>24</v>
      </c>
      <c r="C179" s="15" t="s">
        <v>411</v>
      </c>
      <c r="D179" s="15" t="s">
        <v>405</v>
      </c>
      <c r="E179" s="15" t="s">
        <v>396</v>
      </c>
      <c r="F179" s="15" t="s">
        <v>55</v>
      </c>
      <c r="G179" s="15" t="s">
        <v>56</v>
      </c>
      <c r="H179" s="15" t="s">
        <v>411</v>
      </c>
      <c r="I179" s="15" t="s">
        <v>397</v>
      </c>
      <c r="J179" s="14" t="s">
        <v>14</v>
      </c>
      <c r="K179" s="14" t="s">
        <v>14</v>
      </c>
      <c r="L179" s="14" t="s">
        <v>58</v>
      </c>
      <c r="M179" s="14"/>
      <c r="N179" s="15" t="s">
        <v>398</v>
      </c>
      <c r="O179" s="15" t="s">
        <v>4</v>
      </c>
      <c r="P179" s="16">
        <v>46320</v>
      </c>
    </row>
    <row r="180" spans="1:16" ht="126" customHeight="1">
      <c r="A180" s="14" t="s">
        <v>412</v>
      </c>
      <c r="B180" s="15" t="s">
        <v>24</v>
      </c>
      <c r="C180" s="15" t="s">
        <v>413</v>
      </c>
      <c r="D180" s="15" t="s">
        <v>405</v>
      </c>
      <c r="E180" s="15" t="s">
        <v>396</v>
      </c>
      <c r="F180" s="15" t="s">
        <v>55</v>
      </c>
      <c r="G180" s="15" t="s">
        <v>56</v>
      </c>
      <c r="H180" s="15" t="s">
        <v>413</v>
      </c>
      <c r="I180" s="15" t="s">
        <v>397</v>
      </c>
      <c r="J180" s="14" t="s">
        <v>14</v>
      </c>
      <c r="K180" s="14" t="s">
        <v>14</v>
      </c>
      <c r="L180" s="14" t="s">
        <v>58</v>
      </c>
      <c r="M180" s="14"/>
      <c r="N180" s="15" t="s">
        <v>398</v>
      </c>
      <c r="O180" s="15" t="s">
        <v>4</v>
      </c>
      <c r="P180" s="16">
        <v>46320</v>
      </c>
    </row>
    <row r="181" spans="1:16" ht="126" customHeight="1">
      <c r="A181" s="14" t="s">
        <v>414</v>
      </c>
      <c r="B181" s="15" t="s">
        <v>24</v>
      </c>
      <c r="C181" s="15" t="s">
        <v>415</v>
      </c>
      <c r="D181" s="15" t="s">
        <v>405</v>
      </c>
      <c r="E181" s="15" t="s">
        <v>396</v>
      </c>
      <c r="F181" s="15" t="s">
        <v>55</v>
      </c>
      <c r="G181" s="15" t="s">
        <v>56</v>
      </c>
      <c r="H181" s="15" t="s">
        <v>415</v>
      </c>
      <c r="I181" s="15" t="s">
        <v>397</v>
      </c>
      <c r="J181" s="14" t="s">
        <v>14</v>
      </c>
      <c r="K181" s="14" t="s">
        <v>14</v>
      </c>
      <c r="L181" s="14" t="s">
        <v>58</v>
      </c>
      <c r="M181" s="14"/>
      <c r="N181" s="15" t="s">
        <v>398</v>
      </c>
      <c r="O181" s="15" t="s">
        <v>4</v>
      </c>
      <c r="P181" s="16">
        <v>46320</v>
      </c>
    </row>
    <row r="182" spans="1:16" ht="126" customHeight="1">
      <c r="A182" s="14" t="s">
        <v>416</v>
      </c>
      <c r="B182" s="15" t="s">
        <v>24</v>
      </c>
      <c r="C182" s="15" t="s">
        <v>417</v>
      </c>
      <c r="D182" s="15" t="s">
        <v>418</v>
      </c>
      <c r="E182" s="15" t="s">
        <v>396</v>
      </c>
      <c r="F182" s="15" t="s">
        <v>55</v>
      </c>
      <c r="G182" s="15" t="s">
        <v>56</v>
      </c>
      <c r="H182" s="15" t="s">
        <v>417</v>
      </c>
      <c r="I182" s="15" t="s">
        <v>397</v>
      </c>
      <c r="J182" s="14" t="s">
        <v>14</v>
      </c>
      <c r="K182" s="14" t="s">
        <v>14</v>
      </c>
      <c r="L182" s="14" t="s">
        <v>58</v>
      </c>
      <c r="M182" s="14"/>
      <c r="N182" s="15" t="s">
        <v>398</v>
      </c>
      <c r="O182" s="15" t="s">
        <v>4</v>
      </c>
      <c r="P182" s="16">
        <v>46320</v>
      </c>
    </row>
    <row r="183" spans="1:16" ht="126" customHeight="1">
      <c r="A183" s="14" t="s">
        <v>419</v>
      </c>
      <c r="B183" s="15" t="s">
        <v>24</v>
      </c>
      <c r="C183" s="15" t="s">
        <v>420</v>
      </c>
      <c r="D183" s="15" t="s">
        <v>418</v>
      </c>
      <c r="E183" s="15" t="s">
        <v>396</v>
      </c>
      <c r="F183" s="15" t="s">
        <v>55</v>
      </c>
      <c r="G183" s="15" t="s">
        <v>56</v>
      </c>
      <c r="H183" s="15" t="s">
        <v>420</v>
      </c>
      <c r="I183" s="15" t="s">
        <v>397</v>
      </c>
      <c r="J183" s="14" t="s">
        <v>14</v>
      </c>
      <c r="K183" s="14" t="s">
        <v>14</v>
      </c>
      <c r="L183" s="14" t="s">
        <v>58</v>
      </c>
      <c r="M183" s="14"/>
      <c r="N183" s="15" t="s">
        <v>398</v>
      </c>
      <c r="O183" s="15" t="s">
        <v>4</v>
      </c>
      <c r="P183" s="16">
        <v>46320</v>
      </c>
    </row>
    <row r="184" spans="1:16" ht="126" customHeight="1">
      <c r="A184" s="14" t="s">
        <v>421</v>
      </c>
      <c r="B184" s="15" t="s">
        <v>24</v>
      </c>
      <c r="C184" s="15" t="s">
        <v>422</v>
      </c>
      <c r="D184" s="15" t="s">
        <v>423</v>
      </c>
      <c r="E184" s="15" t="s">
        <v>396</v>
      </c>
      <c r="F184" s="15" t="s">
        <v>55</v>
      </c>
      <c r="G184" s="15" t="s">
        <v>56</v>
      </c>
      <c r="H184" s="15" t="s">
        <v>422</v>
      </c>
      <c r="I184" s="15" t="s">
        <v>397</v>
      </c>
      <c r="J184" s="14" t="s">
        <v>14</v>
      </c>
      <c r="K184" s="14" t="s">
        <v>14</v>
      </c>
      <c r="L184" s="14" t="s">
        <v>58</v>
      </c>
      <c r="M184" s="14"/>
      <c r="N184" s="15" t="s">
        <v>398</v>
      </c>
      <c r="O184" s="15" t="s">
        <v>4</v>
      </c>
      <c r="P184" s="16">
        <v>46320</v>
      </c>
    </row>
    <row r="185" spans="1:16" ht="126" customHeight="1">
      <c r="A185" s="14" t="s">
        <v>424</v>
      </c>
      <c r="B185" s="15" t="s">
        <v>24</v>
      </c>
      <c r="C185" s="15" t="s">
        <v>425</v>
      </c>
      <c r="D185" s="15" t="s">
        <v>423</v>
      </c>
      <c r="E185" s="15" t="s">
        <v>396</v>
      </c>
      <c r="F185" s="15" t="s">
        <v>55</v>
      </c>
      <c r="G185" s="15" t="s">
        <v>56</v>
      </c>
      <c r="H185" s="15" t="s">
        <v>425</v>
      </c>
      <c r="I185" s="15" t="s">
        <v>397</v>
      </c>
      <c r="J185" s="14" t="s">
        <v>14</v>
      </c>
      <c r="K185" s="14" t="s">
        <v>14</v>
      </c>
      <c r="L185" s="14" t="s">
        <v>58</v>
      </c>
      <c r="M185" s="14"/>
      <c r="N185" s="15" t="s">
        <v>398</v>
      </c>
      <c r="O185" s="15" t="s">
        <v>4</v>
      </c>
      <c r="P185" s="16">
        <v>46320</v>
      </c>
    </row>
    <row r="186" spans="1:16" ht="126" customHeight="1">
      <c r="A186" s="14" t="s">
        <v>426</v>
      </c>
      <c r="B186" s="15" t="s">
        <v>24</v>
      </c>
      <c r="C186" s="15" t="s">
        <v>427</v>
      </c>
      <c r="D186" s="15" t="s">
        <v>428</v>
      </c>
      <c r="E186" s="15" t="s">
        <v>396</v>
      </c>
      <c r="F186" s="15" t="s">
        <v>55</v>
      </c>
      <c r="G186" s="15" t="s">
        <v>56</v>
      </c>
      <c r="H186" s="15" t="s">
        <v>427</v>
      </c>
      <c r="I186" s="15" t="s">
        <v>397</v>
      </c>
      <c r="J186" s="14" t="s">
        <v>14</v>
      </c>
      <c r="K186" s="14" t="s">
        <v>14</v>
      </c>
      <c r="L186" s="14" t="s">
        <v>58</v>
      </c>
      <c r="M186" s="14"/>
      <c r="N186" s="15" t="s">
        <v>398</v>
      </c>
      <c r="O186" s="15" t="s">
        <v>4</v>
      </c>
      <c r="P186" s="16">
        <v>46320</v>
      </c>
    </row>
    <row r="187" spans="1:16" ht="126" customHeight="1">
      <c r="A187" s="14" t="s">
        <v>429</v>
      </c>
      <c r="B187" s="15" t="s">
        <v>24</v>
      </c>
      <c r="C187" s="15" t="s">
        <v>430</v>
      </c>
      <c r="D187" s="15" t="s">
        <v>428</v>
      </c>
      <c r="E187" s="15" t="s">
        <v>396</v>
      </c>
      <c r="F187" s="15" t="s">
        <v>55</v>
      </c>
      <c r="G187" s="15" t="s">
        <v>56</v>
      </c>
      <c r="H187" s="15" t="s">
        <v>430</v>
      </c>
      <c r="I187" s="15" t="s">
        <v>397</v>
      </c>
      <c r="J187" s="14" t="s">
        <v>14</v>
      </c>
      <c r="K187" s="14" t="s">
        <v>14</v>
      </c>
      <c r="L187" s="14" t="s">
        <v>58</v>
      </c>
      <c r="M187" s="14"/>
      <c r="N187" s="15" t="s">
        <v>398</v>
      </c>
      <c r="O187" s="15" t="s">
        <v>4</v>
      </c>
      <c r="P187" s="16">
        <v>46320</v>
      </c>
    </row>
    <row r="188" spans="1:16" ht="126" customHeight="1">
      <c r="A188" s="14" t="s">
        <v>431</v>
      </c>
      <c r="B188" s="15" t="s">
        <v>24</v>
      </c>
      <c r="C188" s="15" t="s">
        <v>432</v>
      </c>
      <c r="D188" s="15" t="s">
        <v>433</v>
      </c>
      <c r="E188" s="15" t="s">
        <v>396</v>
      </c>
      <c r="F188" s="15" t="s">
        <v>55</v>
      </c>
      <c r="G188" s="15" t="s">
        <v>56</v>
      </c>
      <c r="H188" s="15" t="s">
        <v>432</v>
      </c>
      <c r="I188" s="15" t="s">
        <v>397</v>
      </c>
      <c r="J188" s="14" t="s">
        <v>14</v>
      </c>
      <c r="K188" s="14" t="s">
        <v>14</v>
      </c>
      <c r="L188" s="14" t="s">
        <v>58</v>
      </c>
      <c r="M188" s="14"/>
      <c r="N188" s="15" t="s">
        <v>398</v>
      </c>
      <c r="O188" s="15" t="s">
        <v>4</v>
      </c>
      <c r="P188" s="16">
        <v>46320</v>
      </c>
    </row>
    <row r="189" spans="1:16" ht="126" customHeight="1">
      <c r="A189" s="14" t="s">
        <v>434</v>
      </c>
      <c r="B189" s="15" t="s">
        <v>24</v>
      </c>
      <c r="C189" s="15" t="s">
        <v>435</v>
      </c>
      <c r="D189" s="15" t="s">
        <v>436</v>
      </c>
      <c r="E189" s="15" t="s">
        <v>396</v>
      </c>
      <c r="F189" s="15" t="s">
        <v>55</v>
      </c>
      <c r="G189" s="15" t="s">
        <v>56</v>
      </c>
      <c r="H189" s="15" t="s">
        <v>435</v>
      </c>
      <c r="I189" s="15" t="s">
        <v>397</v>
      </c>
      <c r="J189" s="14" t="s">
        <v>14</v>
      </c>
      <c r="K189" s="14" t="s">
        <v>14</v>
      </c>
      <c r="L189" s="14" t="s">
        <v>58</v>
      </c>
      <c r="M189" s="14"/>
      <c r="N189" s="15" t="s">
        <v>398</v>
      </c>
      <c r="O189" s="15" t="s">
        <v>4</v>
      </c>
      <c r="P189" s="16">
        <v>46320</v>
      </c>
    </row>
    <row r="190" spans="1:16" ht="126" customHeight="1">
      <c r="A190" s="14" t="s">
        <v>437</v>
      </c>
      <c r="B190" s="15" t="s">
        <v>24</v>
      </c>
      <c r="C190" s="15" t="s">
        <v>438</v>
      </c>
      <c r="D190" s="15" t="s">
        <v>436</v>
      </c>
      <c r="E190" s="15" t="s">
        <v>396</v>
      </c>
      <c r="F190" s="15" t="s">
        <v>55</v>
      </c>
      <c r="G190" s="15" t="s">
        <v>56</v>
      </c>
      <c r="H190" s="15" t="s">
        <v>438</v>
      </c>
      <c r="I190" s="15" t="s">
        <v>397</v>
      </c>
      <c r="J190" s="14" t="s">
        <v>14</v>
      </c>
      <c r="K190" s="14" t="s">
        <v>14</v>
      </c>
      <c r="L190" s="14" t="s">
        <v>58</v>
      </c>
      <c r="M190" s="14"/>
      <c r="N190" s="15" t="s">
        <v>398</v>
      </c>
      <c r="O190" s="15" t="s">
        <v>4</v>
      </c>
      <c r="P190" s="16">
        <v>46320</v>
      </c>
    </row>
    <row r="191" spans="1:16" ht="126" customHeight="1">
      <c r="A191" s="14" t="s">
        <v>439</v>
      </c>
      <c r="B191" s="15" t="s">
        <v>24</v>
      </c>
      <c r="C191" s="15" t="s">
        <v>440</v>
      </c>
      <c r="D191" s="15" t="s">
        <v>441</v>
      </c>
      <c r="E191" s="15" t="s">
        <v>396</v>
      </c>
      <c r="F191" s="15" t="s">
        <v>55</v>
      </c>
      <c r="G191" s="15" t="s">
        <v>56</v>
      </c>
      <c r="H191" s="15" t="s">
        <v>440</v>
      </c>
      <c r="I191" s="15" t="s">
        <v>397</v>
      </c>
      <c r="J191" s="14" t="s">
        <v>14</v>
      </c>
      <c r="K191" s="14" t="s">
        <v>14</v>
      </c>
      <c r="L191" s="14" t="s">
        <v>58</v>
      </c>
      <c r="M191" s="14"/>
      <c r="N191" s="15" t="s">
        <v>398</v>
      </c>
      <c r="O191" s="15" t="s">
        <v>4</v>
      </c>
      <c r="P191" s="16">
        <v>46320</v>
      </c>
    </row>
    <row r="192" spans="1:16" ht="126" customHeight="1">
      <c r="A192" s="14" t="s">
        <v>442</v>
      </c>
      <c r="B192" s="15" t="s">
        <v>24</v>
      </c>
      <c r="C192" s="15" t="s">
        <v>443</v>
      </c>
      <c r="D192" s="15" t="s">
        <v>441</v>
      </c>
      <c r="E192" s="15" t="s">
        <v>396</v>
      </c>
      <c r="F192" s="15" t="s">
        <v>55</v>
      </c>
      <c r="G192" s="15" t="s">
        <v>56</v>
      </c>
      <c r="H192" s="15" t="s">
        <v>443</v>
      </c>
      <c r="I192" s="15" t="s">
        <v>397</v>
      </c>
      <c r="J192" s="14" t="s">
        <v>14</v>
      </c>
      <c r="K192" s="14" t="s">
        <v>14</v>
      </c>
      <c r="L192" s="14" t="s">
        <v>58</v>
      </c>
      <c r="M192" s="14"/>
      <c r="N192" s="15" t="s">
        <v>398</v>
      </c>
      <c r="O192" s="15" t="s">
        <v>4</v>
      </c>
      <c r="P192" s="16">
        <v>46320</v>
      </c>
    </row>
    <row r="193" spans="1:16" ht="126" customHeight="1">
      <c r="A193" s="14" t="s">
        <v>444</v>
      </c>
      <c r="B193" s="15" t="s">
        <v>24</v>
      </c>
      <c r="C193" s="15" t="s">
        <v>445</v>
      </c>
      <c r="D193" s="15" t="s">
        <v>441</v>
      </c>
      <c r="E193" s="15" t="s">
        <v>396</v>
      </c>
      <c r="F193" s="15" t="s">
        <v>55</v>
      </c>
      <c r="G193" s="15" t="s">
        <v>56</v>
      </c>
      <c r="H193" s="15" t="s">
        <v>445</v>
      </c>
      <c r="I193" s="15" t="s">
        <v>397</v>
      </c>
      <c r="J193" s="14" t="s">
        <v>14</v>
      </c>
      <c r="K193" s="14" t="s">
        <v>15</v>
      </c>
      <c r="L193" s="14" t="s">
        <v>58</v>
      </c>
      <c r="M193" s="14" t="s">
        <v>446</v>
      </c>
      <c r="N193" s="15" t="s">
        <v>398</v>
      </c>
      <c r="O193" s="15" t="s">
        <v>4</v>
      </c>
      <c r="P193" s="16">
        <v>46320</v>
      </c>
    </row>
    <row r="194" spans="1:16" ht="126" customHeight="1">
      <c r="A194" s="14" t="s">
        <v>447</v>
      </c>
      <c r="B194" s="15" t="s">
        <v>24</v>
      </c>
      <c r="C194" s="15" t="s">
        <v>448</v>
      </c>
      <c r="D194" s="15" t="s">
        <v>441</v>
      </c>
      <c r="E194" s="15" t="s">
        <v>396</v>
      </c>
      <c r="F194" s="15" t="s">
        <v>55</v>
      </c>
      <c r="G194" s="15" t="s">
        <v>56</v>
      </c>
      <c r="H194" s="15" t="s">
        <v>448</v>
      </c>
      <c r="I194" s="15" t="s">
        <v>397</v>
      </c>
      <c r="J194" s="14" t="s">
        <v>14</v>
      </c>
      <c r="K194" s="14" t="s">
        <v>15</v>
      </c>
      <c r="L194" s="14" t="s">
        <v>58</v>
      </c>
      <c r="M194" s="14" t="s">
        <v>446</v>
      </c>
      <c r="N194" s="15" t="s">
        <v>398</v>
      </c>
      <c r="O194" s="15" t="s">
        <v>4</v>
      </c>
      <c r="P194" s="16">
        <v>46320</v>
      </c>
    </row>
    <row r="195" spans="1:16" ht="126" customHeight="1">
      <c r="A195" s="14" t="s">
        <v>449</v>
      </c>
      <c r="B195" s="15" t="s">
        <v>24</v>
      </c>
      <c r="C195" s="15" t="s">
        <v>450</v>
      </c>
      <c r="D195" s="15" t="s">
        <v>441</v>
      </c>
      <c r="E195" s="15" t="s">
        <v>396</v>
      </c>
      <c r="F195" s="15" t="s">
        <v>55</v>
      </c>
      <c r="G195" s="15" t="s">
        <v>56</v>
      </c>
      <c r="H195" s="15" t="s">
        <v>450</v>
      </c>
      <c r="I195" s="15" t="s">
        <v>397</v>
      </c>
      <c r="J195" s="14" t="s">
        <v>14</v>
      </c>
      <c r="K195" s="14" t="s">
        <v>14</v>
      </c>
      <c r="L195" s="14" t="s">
        <v>58</v>
      </c>
      <c r="M195" s="14"/>
      <c r="N195" s="15" t="s">
        <v>398</v>
      </c>
      <c r="O195" s="15" t="s">
        <v>4</v>
      </c>
      <c r="P195" s="16">
        <v>46320</v>
      </c>
    </row>
    <row r="196" spans="1:16" ht="126" customHeight="1">
      <c r="A196" s="14" t="s">
        <v>451</v>
      </c>
      <c r="B196" s="15" t="s">
        <v>24</v>
      </c>
      <c r="C196" s="15" t="s">
        <v>452</v>
      </c>
      <c r="D196" s="15" t="s">
        <v>453</v>
      </c>
      <c r="E196" s="15" t="s">
        <v>396</v>
      </c>
      <c r="F196" s="15" t="s">
        <v>55</v>
      </c>
      <c r="G196" s="15" t="s">
        <v>56</v>
      </c>
      <c r="H196" s="15" t="s">
        <v>452</v>
      </c>
      <c r="I196" s="15" t="s">
        <v>397</v>
      </c>
      <c r="J196" s="14" t="s">
        <v>14</v>
      </c>
      <c r="K196" s="14" t="s">
        <v>14</v>
      </c>
      <c r="L196" s="14" t="s">
        <v>58</v>
      </c>
      <c r="M196" s="14"/>
      <c r="N196" s="15" t="s">
        <v>398</v>
      </c>
      <c r="O196" s="15" t="s">
        <v>4</v>
      </c>
      <c r="P196" s="16">
        <v>46320</v>
      </c>
    </row>
    <row r="197" spans="1:16" ht="126" customHeight="1">
      <c r="A197" s="14" t="s">
        <v>454</v>
      </c>
      <c r="B197" s="15" t="s">
        <v>24</v>
      </c>
      <c r="C197" s="15" t="s">
        <v>455</v>
      </c>
      <c r="D197" s="15" t="s">
        <v>456</v>
      </c>
      <c r="E197" s="15" t="s">
        <v>396</v>
      </c>
      <c r="F197" s="15" t="s">
        <v>55</v>
      </c>
      <c r="G197" s="15" t="s">
        <v>56</v>
      </c>
      <c r="H197" s="15" t="s">
        <v>455</v>
      </c>
      <c r="I197" s="15" t="s">
        <v>397</v>
      </c>
      <c r="J197" s="14" t="s">
        <v>14</v>
      </c>
      <c r="K197" s="14" t="s">
        <v>14</v>
      </c>
      <c r="L197" s="14" t="s">
        <v>58</v>
      </c>
      <c r="M197" s="14"/>
      <c r="N197" s="15" t="s">
        <v>398</v>
      </c>
      <c r="O197" s="15" t="s">
        <v>4</v>
      </c>
      <c r="P197" s="16">
        <v>46320</v>
      </c>
    </row>
    <row r="198" spans="1:16" ht="126" customHeight="1">
      <c r="A198" s="14" t="s">
        <v>457</v>
      </c>
      <c r="B198" s="15" t="s">
        <v>24</v>
      </c>
      <c r="C198" s="15" t="s">
        <v>458</v>
      </c>
      <c r="D198" s="15" t="s">
        <v>456</v>
      </c>
      <c r="E198" s="15" t="s">
        <v>396</v>
      </c>
      <c r="F198" s="15" t="s">
        <v>55</v>
      </c>
      <c r="G198" s="15" t="s">
        <v>56</v>
      </c>
      <c r="H198" s="15" t="s">
        <v>458</v>
      </c>
      <c r="I198" s="15" t="s">
        <v>397</v>
      </c>
      <c r="J198" s="14" t="s">
        <v>14</v>
      </c>
      <c r="K198" s="14" t="s">
        <v>14</v>
      </c>
      <c r="L198" s="14" t="s">
        <v>58</v>
      </c>
      <c r="M198" s="14"/>
      <c r="N198" s="15" t="s">
        <v>398</v>
      </c>
      <c r="O198" s="15" t="s">
        <v>4</v>
      </c>
      <c r="P198" s="16">
        <v>46320</v>
      </c>
    </row>
    <row r="199" spans="1:16" ht="126" customHeight="1">
      <c r="A199" s="14" t="s">
        <v>459</v>
      </c>
      <c r="B199" s="15" t="s">
        <v>24</v>
      </c>
      <c r="C199" s="15" t="s">
        <v>460</v>
      </c>
      <c r="D199" s="15" t="s">
        <v>456</v>
      </c>
      <c r="E199" s="15" t="s">
        <v>396</v>
      </c>
      <c r="F199" s="15" t="s">
        <v>55</v>
      </c>
      <c r="G199" s="15" t="s">
        <v>56</v>
      </c>
      <c r="H199" s="15" t="s">
        <v>460</v>
      </c>
      <c r="I199" s="15" t="s">
        <v>397</v>
      </c>
      <c r="J199" s="14" t="s">
        <v>14</v>
      </c>
      <c r="K199" s="14" t="s">
        <v>14</v>
      </c>
      <c r="L199" s="14" t="s">
        <v>58</v>
      </c>
      <c r="M199" s="14"/>
      <c r="N199" s="15" t="s">
        <v>398</v>
      </c>
      <c r="O199" s="15" t="s">
        <v>4</v>
      </c>
      <c r="P199" s="16">
        <v>46320</v>
      </c>
    </row>
    <row r="200" spans="1:16" ht="126" customHeight="1">
      <c r="A200" s="14" t="s">
        <v>461</v>
      </c>
      <c r="B200" s="15" t="s">
        <v>24</v>
      </c>
      <c r="C200" s="15" t="s">
        <v>462</v>
      </c>
      <c r="D200" s="15" t="s">
        <v>456</v>
      </c>
      <c r="E200" s="15" t="s">
        <v>396</v>
      </c>
      <c r="F200" s="15" t="s">
        <v>55</v>
      </c>
      <c r="G200" s="15" t="s">
        <v>56</v>
      </c>
      <c r="H200" s="15" t="s">
        <v>462</v>
      </c>
      <c r="I200" s="15" t="s">
        <v>397</v>
      </c>
      <c r="J200" s="14" t="s">
        <v>14</v>
      </c>
      <c r="K200" s="14" t="s">
        <v>14</v>
      </c>
      <c r="L200" s="14" t="s">
        <v>58</v>
      </c>
      <c r="M200" s="14"/>
      <c r="N200" s="15" t="s">
        <v>398</v>
      </c>
      <c r="O200" s="15" t="s">
        <v>4</v>
      </c>
      <c r="P200" s="16">
        <v>46320</v>
      </c>
    </row>
    <row r="201" spans="1:16" ht="126" customHeight="1">
      <c r="A201" s="14" t="s">
        <v>463</v>
      </c>
      <c r="B201" s="15" t="s">
        <v>24</v>
      </c>
      <c r="C201" s="15" t="s">
        <v>464</v>
      </c>
      <c r="D201" s="15" t="s">
        <v>456</v>
      </c>
      <c r="E201" s="15" t="s">
        <v>396</v>
      </c>
      <c r="F201" s="15" t="s">
        <v>55</v>
      </c>
      <c r="G201" s="15" t="s">
        <v>56</v>
      </c>
      <c r="H201" s="15" t="s">
        <v>464</v>
      </c>
      <c r="I201" s="15" t="s">
        <v>397</v>
      </c>
      <c r="J201" s="14" t="s">
        <v>14</v>
      </c>
      <c r="K201" s="14" t="s">
        <v>14</v>
      </c>
      <c r="L201" s="14" t="s">
        <v>58</v>
      </c>
      <c r="M201" s="14"/>
      <c r="N201" s="15" t="s">
        <v>398</v>
      </c>
      <c r="O201" s="15" t="s">
        <v>4</v>
      </c>
      <c r="P201" s="16">
        <v>46320</v>
      </c>
    </row>
    <row r="202" spans="1:16" ht="126" customHeight="1">
      <c r="A202" s="14" t="s">
        <v>465</v>
      </c>
      <c r="B202" s="15" t="s">
        <v>24</v>
      </c>
      <c r="C202" s="15" t="s">
        <v>466</v>
      </c>
      <c r="D202" s="15" t="s">
        <v>456</v>
      </c>
      <c r="E202" s="15" t="s">
        <v>396</v>
      </c>
      <c r="F202" s="15" t="s">
        <v>55</v>
      </c>
      <c r="G202" s="15" t="s">
        <v>56</v>
      </c>
      <c r="H202" s="15" t="s">
        <v>466</v>
      </c>
      <c r="I202" s="15" t="s">
        <v>397</v>
      </c>
      <c r="J202" s="14" t="s">
        <v>14</v>
      </c>
      <c r="K202" s="14" t="s">
        <v>14</v>
      </c>
      <c r="L202" s="14" t="s">
        <v>58</v>
      </c>
      <c r="M202" s="14"/>
      <c r="N202" s="15" t="s">
        <v>398</v>
      </c>
      <c r="O202" s="15" t="s">
        <v>4</v>
      </c>
      <c r="P202" s="16">
        <v>46320</v>
      </c>
    </row>
    <row r="203" spans="1:16" ht="126" customHeight="1">
      <c r="A203" s="14" t="s">
        <v>467</v>
      </c>
      <c r="B203" s="15" t="s">
        <v>24</v>
      </c>
      <c r="C203" s="15" t="s">
        <v>468</v>
      </c>
      <c r="D203" s="15" t="s">
        <v>456</v>
      </c>
      <c r="E203" s="15" t="s">
        <v>396</v>
      </c>
      <c r="F203" s="15" t="s">
        <v>55</v>
      </c>
      <c r="G203" s="15" t="s">
        <v>56</v>
      </c>
      <c r="H203" s="15" t="s">
        <v>468</v>
      </c>
      <c r="I203" s="15" t="s">
        <v>397</v>
      </c>
      <c r="J203" s="14" t="s">
        <v>14</v>
      </c>
      <c r="K203" s="14" t="s">
        <v>14</v>
      </c>
      <c r="L203" s="14" t="s">
        <v>58</v>
      </c>
      <c r="M203" s="14"/>
      <c r="N203" s="15" t="s">
        <v>398</v>
      </c>
      <c r="O203" s="15" t="s">
        <v>4</v>
      </c>
      <c r="P203" s="16">
        <v>46320</v>
      </c>
    </row>
    <row r="204" spans="1:16" ht="126" customHeight="1">
      <c r="A204" s="14" t="s">
        <v>469</v>
      </c>
      <c r="B204" s="15" t="s">
        <v>24</v>
      </c>
      <c r="C204" s="15" t="s">
        <v>470</v>
      </c>
      <c r="D204" s="15" t="s">
        <v>456</v>
      </c>
      <c r="E204" s="15" t="s">
        <v>396</v>
      </c>
      <c r="F204" s="15" t="s">
        <v>55</v>
      </c>
      <c r="G204" s="15" t="s">
        <v>56</v>
      </c>
      <c r="H204" s="15" t="s">
        <v>470</v>
      </c>
      <c r="I204" s="15" t="s">
        <v>397</v>
      </c>
      <c r="J204" s="14" t="s">
        <v>14</v>
      </c>
      <c r="K204" s="14" t="s">
        <v>14</v>
      </c>
      <c r="L204" s="14" t="s">
        <v>58</v>
      </c>
      <c r="M204" s="14"/>
      <c r="N204" s="15" t="s">
        <v>398</v>
      </c>
      <c r="O204" s="15" t="s">
        <v>4</v>
      </c>
      <c r="P204" s="16">
        <v>46320</v>
      </c>
    </row>
    <row r="205" spans="1:16" ht="126" customHeight="1">
      <c r="A205" s="14" t="s">
        <v>471</v>
      </c>
      <c r="B205" s="15" t="s">
        <v>24</v>
      </c>
      <c r="C205" s="15" t="s">
        <v>472</v>
      </c>
      <c r="D205" s="15" t="s">
        <v>473</v>
      </c>
      <c r="E205" s="15" t="s">
        <v>396</v>
      </c>
      <c r="F205" s="15" t="s">
        <v>55</v>
      </c>
      <c r="G205" s="15" t="s">
        <v>56</v>
      </c>
      <c r="H205" s="15" t="s">
        <v>472</v>
      </c>
      <c r="I205" s="15" t="s">
        <v>397</v>
      </c>
      <c r="J205" s="14" t="s">
        <v>14</v>
      </c>
      <c r="K205" s="14" t="s">
        <v>14</v>
      </c>
      <c r="L205" s="14" t="s">
        <v>58</v>
      </c>
      <c r="M205" s="14"/>
      <c r="N205" s="15" t="s">
        <v>398</v>
      </c>
      <c r="O205" s="15" t="s">
        <v>4</v>
      </c>
      <c r="P205" s="16">
        <v>46320</v>
      </c>
    </row>
    <row r="206" spans="1:16" ht="126" customHeight="1">
      <c r="A206" s="14" t="s">
        <v>474</v>
      </c>
      <c r="B206" s="15" t="s">
        <v>24</v>
      </c>
      <c r="C206" s="15" t="s">
        <v>475</v>
      </c>
      <c r="D206" s="15" t="s">
        <v>473</v>
      </c>
      <c r="E206" s="15" t="s">
        <v>396</v>
      </c>
      <c r="F206" s="15" t="s">
        <v>55</v>
      </c>
      <c r="G206" s="15" t="s">
        <v>56</v>
      </c>
      <c r="H206" s="15" t="s">
        <v>475</v>
      </c>
      <c r="I206" s="15" t="s">
        <v>397</v>
      </c>
      <c r="J206" s="14" t="s">
        <v>14</v>
      </c>
      <c r="K206" s="14" t="s">
        <v>14</v>
      </c>
      <c r="L206" s="14" t="s">
        <v>58</v>
      </c>
      <c r="M206" s="14"/>
      <c r="N206" s="15" t="s">
        <v>398</v>
      </c>
      <c r="O206" s="15" t="s">
        <v>4</v>
      </c>
      <c r="P206" s="16">
        <v>46320</v>
      </c>
    </row>
    <row r="207" spans="1:16" ht="126" customHeight="1">
      <c r="A207" s="14" t="s">
        <v>476</v>
      </c>
      <c r="B207" s="15" t="s">
        <v>24</v>
      </c>
      <c r="C207" s="15" t="s">
        <v>477</v>
      </c>
      <c r="D207" s="15" t="s">
        <v>473</v>
      </c>
      <c r="E207" s="15" t="s">
        <v>396</v>
      </c>
      <c r="F207" s="15" t="s">
        <v>55</v>
      </c>
      <c r="G207" s="15" t="s">
        <v>56</v>
      </c>
      <c r="H207" s="15" t="s">
        <v>477</v>
      </c>
      <c r="I207" s="15" t="s">
        <v>397</v>
      </c>
      <c r="J207" s="14" t="s">
        <v>14</v>
      </c>
      <c r="K207" s="14" t="s">
        <v>14</v>
      </c>
      <c r="L207" s="14" t="s">
        <v>58</v>
      </c>
      <c r="M207" s="14"/>
      <c r="N207" s="15" t="s">
        <v>398</v>
      </c>
      <c r="O207" s="15" t="s">
        <v>4</v>
      </c>
      <c r="P207" s="16">
        <v>46320</v>
      </c>
    </row>
    <row r="208" spans="1:16" ht="126" customHeight="1">
      <c r="A208" s="14" t="s">
        <v>478</v>
      </c>
      <c r="B208" s="15" t="s">
        <v>24</v>
      </c>
      <c r="C208" s="15" t="s">
        <v>479</v>
      </c>
      <c r="D208" s="15" t="s">
        <v>480</v>
      </c>
      <c r="E208" s="15" t="s">
        <v>396</v>
      </c>
      <c r="F208" s="15" t="s">
        <v>55</v>
      </c>
      <c r="G208" s="15" t="s">
        <v>56</v>
      </c>
      <c r="H208" s="15" t="s">
        <v>479</v>
      </c>
      <c r="I208" s="15" t="s">
        <v>397</v>
      </c>
      <c r="J208" s="14" t="s">
        <v>14</v>
      </c>
      <c r="K208" s="14" t="s">
        <v>14</v>
      </c>
      <c r="L208" s="14" t="s">
        <v>58</v>
      </c>
      <c r="M208" s="14"/>
      <c r="N208" s="15" t="s">
        <v>398</v>
      </c>
      <c r="O208" s="15" t="s">
        <v>4</v>
      </c>
      <c r="P208" s="16">
        <v>46320</v>
      </c>
    </row>
    <row r="209" spans="1:16" ht="126" customHeight="1">
      <c r="A209" s="14" t="s">
        <v>481</v>
      </c>
      <c r="B209" s="15" t="s">
        <v>24</v>
      </c>
      <c r="C209" s="15" t="s">
        <v>482</v>
      </c>
      <c r="D209" s="15" t="s">
        <v>483</v>
      </c>
      <c r="E209" s="15" t="s">
        <v>396</v>
      </c>
      <c r="F209" s="15" t="s">
        <v>55</v>
      </c>
      <c r="G209" s="15" t="s">
        <v>56</v>
      </c>
      <c r="H209" s="15" t="s">
        <v>482</v>
      </c>
      <c r="I209" s="15" t="s">
        <v>397</v>
      </c>
      <c r="J209" s="14" t="s">
        <v>14</v>
      </c>
      <c r="K209" s="14" t="s">
        <v>15</v>
      </c>
      <c r="L209" s="14" t="s">
        <v>58</v>
      </c>
      <c r="M209" s="14" t="s">
        <v>484</v>
      </c>
      <c r="N209" s="15" t="s">
        <v>398</v>
      </c>
      <c r="O209" s="15" t="s">
        <v>4</v>
      </c>
      <c r="P209" s="16">
        <v>46320</v>
      </c>
    </row>
    <row r="210" spans="1:16" ht="126" customHeight="1">
      <c r="A210" s="14" t="s">
        <v>485</v>
      </c>
      <c r="B210" s="15" t="s">
        <v>24</v>
      </c>
      <c r="C210" s="15" t="s">
        <v>486</v>
      </c>
      <c r="D210" s="15" t="s">
        <v>483</v>
      </c>
      <c r="E210" s="15" t="s">
        <v>396</v>
      </c>
      <c r="F210" s="15" t="s">
        <v>55</v>
      </c>
      <c r="G210" s="15" t="s">
        <v>56</v>
      </c>
      <c r="H210" s="15" t="s">
        <v>486</v>
      </c>
      <c r="I210" s="15" t="s">
        <v>397</v>
      </c>
      <c r="J210" s="14" t="s">
        <v>14</v>
      </c>
      <c r="K210" s="14" t="s">
        <v>15</v>
      </c>
      <c r="L210" s="14" t="s">
        <v>58</v>
      </c>
      <c r="M210" s="14" t="s">
        <v>487</v>
      </c>
      <c r="N210" s="15" t="s">
        <v>398</v>
      </c>
      <c r="O210" s="15" t="s">
        <v>4</v>
      </c>
      <c r="P210" s="16">
        <v>46320</v>
      </c>
    </row>
    <row r="211" spans="1:16" ht="126" customHeight="1">
      <c r="A211" s="14" t="s">
        <v>488</v>
      </c>
      <c r="B211" s="15" t="s">
        <v>24</v>
      </c>
      <c r="C211" s="15" t="s">
        <v>489</v>
      </c>
      <c r="D211" s="15" t="s">
        <v>483</v>
      </c>
      <c r="E211" s="15" t="s">
        <v>396</v>
      </c>
      <c r="F211" s="15" t="s">
        <v>55</v>
      </c>
      <c r="G211" s="15" t="s">
        <v>56</v>
      </c>
      <c r="H211" s="15" t="s">
        <v>489</v>
      </c>
      <c r="I211" s="15" t="s">
        <v>397</v>
      </c>
      <c r="J211" s="14" t="s">
        <v>14</v>
      </c>
      <c r="K211" s="14" t="s">
        <v>14</v>
      </c>
      <c r="L211" s="14" t="s">
        <v>58</v>
      </c>
      <c r="M211" s="14"/>
      <c r="N211" s="15" t="s">
        <v>398</v>
      </c>
      <c r="O211" s="15" t="s">
        <v>4</v>
      </c>
      <c r="P211" s="16">
        <v>46320</v>
      </c>
    </row>
    <row r="212" spans="1:16" ht="126" customHeight="1">
      <c r="A212" s="14" t="s">
        <v>490</v>
      </c>
      <c r="B212" s="15" t="s">
        <v>24</v>
      </c>
      <c r="C212" s="15" t="s">
        <v>491</v>
      </c>
      <c r="D212" s="15" t="s">
        <v>492</v>
      </c>
      <c r="E212" s="15" t="s">
        <v>396</v>
      </c>
      <c r="F212" s="15" t="s">
        <v>55</v>
      </c>
      <c r="G212" s="15" t="s">
        <v>56</v>
      </c>
      <c r="H212" s="15" t="s">
        <v>491</v>
      </c>
      <c r="I212" s="15" t="s">
        <v>397</v>
      </c>
      <c r="J212" s="14" t="s">
        <v>14</v>
      </c>
      <c r="K212" s="14" t="s">
        <v>14</v>
      </c>
      <c r="L212" s="14" t="s">
        <v>58</v>
      </c>
      <c r="M212" s="14"/>
      <c r="N212" s="15" t="s">
        <v>398</v>
      </c>
      <c r="O212" s="15" t="s">
        <v>4</v>
      </c>
      <c r="P212" s="16">
        <v>46320</v>
      </c>
    </row>
    <row r="213" spans="1:16" ht="126" customHeight="1">
      <c r="A213" s="14" t="s">
        <v>493</v>
      </c>
      <c r="B213" s="15" t="s">
        <v>24</v>
      </c>
      <c r="C213" s="15" t="s">
        <v>494</v>
      </c>
      <c r="D213" s="15" t="s">
        <v>492</v>
      </c>
      <c r="E213" s="15" t="s">
        <v>396</v>
      </c>
      <c r="F213" s="15" t="s">
        <v>55</v>
      </c>
      <c r="G213" s="15" t="s">
        <v>56</v>
      </c>
      <c r="H213" s="15" t="s">
        <v>494</v>
      </c>
      <c r="I213" s="15" t="s">
        <v>397</v>
      </c>
      <c r="J213" s="14" t="s">
        <v>14</v>
      </c>
      <c r="K213" s="14" t="s">
        <v>14</v>
      </c>
      <c r="L213" s="14" t="s">
        <v>58</v>
      </c>
      <c r="M213" s="14"/>
      <c r="N213" s="15" t="s">
        <v>398</v>
      </c>
      <c r="O213" s="15" t="s">
        <v>4</v>
      </c>
      <c r="P213" s="16">
        <v>46320</v>
      </c>
    </row>
    <row r="214" spans="1:16" ht="126" customHeight="1">
      <c r="A214" s="14" t="s">
        <v>495</v>
      </c>
      <c r="B214" s="15" t="s">
        <v>24</v>
      </c>
      <c r="C214" s="15" t="s">
        <v>496</v>
      </c>
      <c r="D214" s="15" t="s">
        <v>492</v>
      </c>
      <c r="E214" s="15" t="s">
        <v>396</v>
      </c>
      <c r="F214" s="15" t="s">
        <v>55</v>
      </c>
      <c r="G214" s="15" t="s">
        <v>56</v>
      </c>
      <c r="H214" s="15" t="s">
        <v>496</v>
      </c>
      <c r="I214" s="15" t="s">
        <v>397</v>
      </c>
      <c r="J214" s="14" t="s">
        <v>14</v>
      </c>
      <c r="K214" s="14" t="s">
        <v>14</v>
      </c>
      <c r="L214" s="14" t="s">
        <v>58</v>
      </c>
      <c r="M214" s="14"/>
      <c r="N214" s="15" t="s">
        <v>398</v>
      </c>
      <c r="O214" s="15" t="s">
        <v>4</v>
      </c>
      <c r="P214" s="16">
        <v>46320</v>
      </c>
    </row>
    <row r="215" spans="1:16" ht="126" customHeight="1">
      <c r="A215" s="14" t="s">
        <v>497</v>
      </c>
      <c r="B215" s="15" t="s">
        <v>24</v>
      </c>
      <c r="C215" s="15" t="s">
        <v>498</v>
      </c>
      <c r="D215" s="15" t="s">
        <v>499</v>
      </c>
      <c r="E215" s="15" t="s">
        <v>396</v>
      </c>
      <c r="F215" s="15" t="s">
        <v>55</v>
      </c>
      <c r="G215" s="15" t="s">
        <v>56</v>
      </c>
      <c r="H215" s="15" t="s">
        <v>498</v>
      </c>
      <c r="I215" s="15" t="s">
        <v>397</v>
      </c>
      <c r="J215" s="14" t="s">
        <v>14</v>
      </c>
      <c r="K215" s="14" t="s">
        <v>14</v>
      </c>
      <c r="L215" s="14" t="s">
        <v>58</v>
      </c>
      <c r="M215" s="14"/>
      <c r="N215" s="15" t="s">
        <v>398</v>
      </c>
      <c r="O215" s="15" t="s">
        <v>4</v>
      </c>
      <c r="P215" s="16">
        <v>46320</v>
      </c>
    </row>
    <row r="216" spans="1:16" ht="126" customHeight="1">
      <c r="A216" s="14" t="s">
        <v>500</v>
      </c>
      <c r="B216" s="15" t="s">
        <v>24</v>
      </c>
      <c r="C216" s="15" t="s">
        <v>501</v>
      </c>
      <c r="D216" s="15" t="s">
        <v>499</v>
      </c>
      <c r="E216" s="15" t="s">
        <v>396</v>
      </c>
      <c r="F216" s="15" t="s">
        <v>55</v>
      </c>
      <c r="G216" s="15" t="s">
        <v>56</v>
      </c>
      <c r="H216" s="15" t="s">
        <v>501</v>
      </c>
      <c r="I216" s="15" t="s">
        <v>397</v>
      </c>
      <c r="J216" s="14" t="s">
        <v>14</v>
      </c>
      <c r="K216" s="14" t="s">
        <v>14</v>
      </c>
      <c r="L216" s="14" t="s">
        <v>58</v>
      </c>
      <c r="M216" s="14"/>
      <c r="N216" s="15" t="s">
        <v>398</v>
      </c>
      <c r="O216" s="15" t="s">
        <v>4</v>
      </c>
      <c r="P216" s="16">
        <v>46320</v>
      </c>
    </row>
    <row r="217" spans="1:16" ht="126" customHeight="1">
      <c r="A217" s="14" t="s">
        <v>502</v>
      </c>
      <c r="B217" s="15" t="s">
        <v>24</v>
      </c>
      <c r="C217" s="15" t="s">
        <v>503</v>
      </c>
      <c r="D217" s="15" t="s">
        <v>499</v>
      </c>
      <c r="E217" s="15" t="s">
        <v>396</v>
      </c>
      <c r="F217" s="15" t="s">
        <v>55</v>
      </c>
      <c r="G217" s="15" t="s">
        <v>56</v>
      </c>
      <c r="H217" s="15" t="s">
        <v>503</v>
      </c>
      <c r="I217" s="15" t="s">
        <v>397</v>
      </c>
      <c r="J217" s="14" t="s">
        <v>14</v>
      </c>
      <c r="K217" s="14" t="s">
        <v>14</v>
      </c>
      <c r="L217" s="14" t="s">
        <v>58</v>
      </c>
      <c r="M217" s="14"/>
      <c r="N217" s="15" t="s">
        <v>398</v>
      </c>
      <c r="O217" s="15" t="s">
        <v>4</v>
      </c>
      <c r="P217" s="16">
        <v>46320</v>
      </c>
    </row>
    <row r="218" spans="1:16" ht="126" customHeight="1">
      <c r="A218" s="14" t="s">
        <v>504</v>
      </c>
      <c r="B218" s="15" t="s">
        <v>24</v>
      </c>
      <c r="C218" s="15" t="s">
        <v>505</v>
      </c>
      <c r="D218" s="15" t="s">
        <v>499</v>
      </c>
      <c r="E218" s="15" t="s">
        <v>396</v>
      </c>
      <c r="F218" s="15" t="s">
        <v>55</v>
      </c>
      <c r="G218" s="15" t="s">
        <v>56</v>
      </c>
      <c r="H218" s="15" t="s">
        <v>505</v>
      </c>
      <c r="I218" s="15" t="s">
        <v>397</v>
      </c>
      <c r="J218" s="14" t="s">
        <v>14</v>
      </c>
      <c r="K218" s="14" t="s">
        <v>14</v>
      </c>
      <c r="L218" s="14" t="s">
        <v>58</v>
      </c>
      <c r="M218" s="14"/>
      <c r="N218" s="15" t="s">
        <v>398</v>
      </c>
      <c r="O218" s="15" t="s">
        <v>4</v>
      </c>
      <c r="P218" s="16">
        <v>46320</v>
      </c>
    </row>
    <row r="219" spans="1:16" ht="126" customHeight="1">
      <c r="A219" s="14" t="s">
        <v>506</v>
      </c>
      <c r="B219" s="15" t="s">
        <v>24</v>
      </c>
      <c r="C219" s="15" t="s">
        <v>507</v>
      </c>
      <c r="D219" s="15" t="s">
        <v>499</v>
      </c>
      <c r="E219" s="15" t="s">
        <v>396</v>
      </c>
      <c r="F219" s="15" t="s">
        <v>55</v>
      </c>
      <c r="G219" s="15" t="s">
        <v>56</v>
      </c>
      <c r="H219" s="15" t="s">
        <v>507</v>
      </c>
      <c r="I219" s="15" t="s">
        <v>397</v>
      </c>
      <c r="J219" s="14" t="s">
        <v>14</v>
      </c>
      <c r="K219" s="14" t="s">
        <v>14</v>
      </c>
      <c r="L219" s="14" t="s">
        <v>58</v>
      </c>
      <c r="M219" s="14"/>
      <c r="N219" s="15" t="s">
        <v>398</v>
      </c>
      <c r="O219" s="15" t="s">
        <v>4</v>
      </c>
      <c r="P219" s="16">
        <v>46320</v>
      </c>
    </row>
    <row r="220" spans="1:16" ht="126" customHeight="1">
      <c r="A220" s="14" t="s">
        <v>508</v>
      </c>
      <c r="B220" s="15" t="s">
        <v>24</v>
      </c>
      <c r="C220" s="15" t="s">
        <v>509</v>
      </c>
      <c r="D220" s="15" t="s">
        <v>499</v>
      </c>
      <c r="E220" s="15" t="s">
        <v>396</v>
      </c>
      <c r="F220" s="15" t="s">
        <v>55</v>
      </c>
      <c r="G220" s="15" t="s">
        <v>56</v>
      </c>
      <c r="H220" s="15" t="s">
        <v>509</v>
      </c>
      <c r="I220" s="15" t="s">
        <v>397</v>
      </c>
      <c r="J220" s="14" t="s">
        <v>14</v>
      </c>
      <c r="K220" s="14" t="s">
        <v>14</v>
      </c>
      <c r="L220" s="14" t="s">
        <v>58</v>
      </c>
      <c r="M220" s="14"/>
      <c r="N220" s="15" t="s">
        <v>398</v>
      </c>
      <c r="O220" s="15" t="s">
        <v>4</v>
      </c>
      <c r="P220" s="16">
        <v>46320</v>
      </c>
    </row>
    <row r="221" spans="1:16" ht="126" customHeight="1">
      <c r="A221" s="14" t="s">
        <v>510</v>
      </c>
      <c r="B221" s="15" t="s">
        <v>24</v>
      </c>
      <c r="C221" s="15" t="s">
        <v>511</v>
      </c>
      <c r="D221" s="15" t="s">
        <v>512</v>
      </c>
      <c r="E221" s="15" t="s">
        <v>396</v>
      </c>
      <c r="F221" s="15" t="s">
        <v>55</v>
      </c>
      <c r="G221" s="15" t="s">
        <v>56</v>
      </c>
      <c r="H221" s="15" t="s">
        <v>511</v>
      </c>
      <c r="I221" s="15" t="s">
        <v>397</v>
      </c>
      <c r="J221" s="14" t="s">
        <v>14</v>
      </c>
      <c r="K221" s="14" t="s">
        <v>14</v>
      </c>
      <c r="L221" s="14" t="s">
        <v>58</v>
      </c>
      <c r="M221" s="14"/>
      <c r="N221" s="15" t="s">
        <v>398</v>
      </c>
      <c r="O221" s="15" t="s">
        <v>4</v>
      </c>
      <c r="P221" s="16">
        <v>46320</v>
      </c>
    </row>
    <row r="222" spans="1:16" ht="126" customHeight="1">
      <c r="A222" s="14" t="s">
        <v>513</v>
      </c>
      <c r="B222" s="15" t="s">
        <v>24</v>
      </c>
      <c r="C222" s="15" t="s">
        <v>514</v>
      </c>
      <c r="D222" s="15" t="s">
        <v>512</v>
      </c>
      <c r="E222" s="15" t="s">
        <v>396</v>
      </c>
      <c r="F222" s="15" t="s">
        <v>55</v>
      </c>
      <c r="G222" s="15" t="s">
        <v>56</v>
      </c>
      <c r="H222" s="15" t="s">
        <v>514</v>
      </c>
      <c r="I222" s="15" t="s">
        <v>397</v>
      </c>
      <c r="J222" s="14" t="s">
        <v>14</v>
      </c>
      <c r="K222" s="14" t="s">
        <v>14</v>
      </c>
      <c r="L222" s="14" t="s">
        <v>58</v>
      </c>
      <c r="M222" s="14"/>
      <c r="N222" s="15" t="s">
        <v>398</v>
      </c>
      <c r="O222" s="15" t="s">
        <v>4</v>
      </c>
      <c r="P222" s="16">
        <v>46320</v>
      </c>
    </row>
    <row r="223" spans="1:16" ht="126" customHeight="1">
      <c r="A223" s="14" t="s">
        <v>515</v>
      </c>
      <c r="B223" s="15" t="s">
        <v>24</v>
      </c>
      <c r="C223" s="15" t="s">
        <v>516</v>
      </c>
      <c r="D223" s="15" t="s">
        <v>512</v>
      </c>
      <c r="E223" s="15" t="s">
        <v>396</v>
      </c>
      <c r="F223" s="15" t="s">
        <v>55</v>
      </c>
      <c r="G223" s="15" t="s">
        <v>56</v>
      </c>
      <c r="H223" s="15" t="s">
        <v>516</v>
      </c>
      <c r="I223" s="15" t="s">
        <v>397</v>
      </c>
      <c r="J223" s="14" t="s">
        <v>14</v>
      </c>
      <c r="K223" s="14" t="s">
        <v>14</v>
      </c>
      <c r="L223" s="14" t="s">
        <v>58</v>
      </c>
      <c r="M223" s="14"/>
      <c r="N223" s="15" t="s">
        <v>398</v>
      </c>
      <c r="O223" s="15" t="s">
        <v>4</v>
      </c>
      <c r="P223" s="16">
        <v>46320</v>
      </c>
    </row>
    <row r="224" spans="1:16" ht="126" customHeight="1">
      <c r="A224" s="14" t="s">
        <v>517</v>
      </c>
      <c r="B224" s="15" t="s">
        <v>24</v>
      </c>
      <c r="C224" s="15" t="s">
        <v>518</v>
      </c>
      <c r="D224" s="15" t="s">
        <v>519</v>
      </c>
      <c r="E224" s="15" t="s">
        <v>396</v>
      </c>
      <c r="F224" s="15" t="s">
        <v>55</v>
      </c>
      <c r="G224" s="15" t="s">
        <v>56</v>
      </c>
      <c r="H224" s="15" t="s">
        <v>518</v>
      </c>
      <c r="I224" s="15" t="s">
        <v>397</v>
      </c>
      <c r="J224" s="14" t="s">
        <v>14</v>
      </c>
      <c r="K224" s="14" t="s">
        <v>14</v>
      </c>
      <c r="L224" s="14" t="s">
        <v>58</v>
      </c>
      <c r="M224" s="14"/>
      <c r="N224" s="15" t="s">
        <v>398</v>
      </c>
      <c r="O224" s="15" t="s">
        <v>4</v>
      </c>
      <c r="P224" s="16">
        <v>46320</v>
      </c>
    </row>
    <row r="225" spans="1:16" ht="126" customHeight="1">
      <c r="A225" s="14" t="s">
        <v>520</v>
      </c>
      <c r="B225" s="15" t="s">
        <v>24</v>
      </c>
      <c r="C225" s="15" t="s">
        <v>521</v>
      </c>
      <c r="D225" s="15" t="s">
        <v>519</v>
      </c>
      <c r="E225" s="15" t="s">
        <v>396</v>
      </c>
      <c r="F225" s="15" t="s">
        <v>55</v>
      </c>
      <c r="G225" s="15" t="s">
        <v>56</v>
      </c>
      <c r="H225" s="15" t="s">
        <v>521</v>
      </c>
      <c r="I225" s="15" t="s">
        <v>397</v>
      </c>
      <c r="J225" s="14" t="s">
        <v>14</v>
      </c>
      <c r="K225" s="14" t="s">
        <v>14</v>
      </c>
      <c r="L225" s="14" t="s">
        <v>58</v>
      </c>
      <c r="M225" s="14"/>
      <c r="N225" s="15" t="s">
        <v>398</v>
      </c>
      <c r="O225" s="15" t="s">
        <v>4</v>
      </c>
      <c r="P225" s="16">
        <v>46320</v>
      </c>
    </row>
    <row r="226" spans="1:16" ht="126" customHeight="1">
      <c r="A226" s="14" t="s">
        <v>522</v>
      </c>
      <c r="B226" s="15" t="s">
        <v>24</v>
      </c>
      <c r="C226" s="15" t="s">
        <v>523</v>
      </c>
      <c r="D226" s="15" t="s">
        <v>519</v>
      </c>
      <c r="E226" s="15" t="s">
        <v>396</v>
      </c>
      <c r="F226" s="15" t="s">
        <v>55</v>
      </c>
      <c r="G226" s="15" t="s">
        <v>56</v>
      </c>
      <c r="H226" s="15" t="s">
        <v>523</v>
      </c>
      <c r="I226" s="15" t="s">
        <v>397</v>
      </c>
      <c r="J226" s="14" t="s">
        <v>14</v>
      </c>
      <c r="K226" s="14" t="s">
        <v>14</v>
      </c>
      <c r="L226" s="14" t="s">
        <v>58</v>
      </c>
      <c r="M226" s="14"/>
      <c r="N226" s="15" t="s">
        <v>398</v>
      </c>
      <c r="O226" s="15" t="s">
        <v>4</v>
      </c>
      <c r="P226" s="16">
        <v>46320</v>
      </c>
    </row>
    <row r="227" spans="1:16" ht="126" customHeight="1">
      <c r="A227" s="14" t="s">
        <v>524</v>
      </c>
      <c r="B227" s="15" t="s">
        <v>24</v>
      </c>
      <c r="C227" s="15" t="s">
        <v>525</v>
      </c>
      <c r="D227" s="15" t="s">
        <v>519</v>
      </c>
      <c r="E227" s="15" t="s">
        <v>396</v>
      </c>
      <c r="F227" s="15" t="s">
        <v>55</v>
      </c>
      <c r="G227" s="15" t="s">
        <v>56</v>
      </c>
      <c r="H227" s="15" t="s">
        <v>525</v>
      </c>
      <c r="I227" s="15" t="s">
        <v>397</v>
      </c>
      <c r="J227" s="14" t="s">
        <v>14</v>
      </c>
      <c r="K227" s="14" t="s">
        <v>14</v>
      </c>
      <c r="L227" s="14" t="s">
        <v>58</v>
      </c>
      <c r="M227" s="14"/>
      <c r="N227" s="15" t="s">
        <v>398</v>
      </c>
      <c r="O227" s="15" t="s">
        <v>4</v>
      </c>
      <c r="P227" s="16">
        <v>46320</v>
      </c>
    </row>
    <row r="228" spans="1:16" ht="126" customHeight="1">
      <c r="A228" s="14" t="s">
        <v>526</v>
      </c>
      <c r="B228" s="15" t="s">
        <v>24</v>
      </c>
      <c r="C228" s="15" t="s">
        <v>527</v>
      </c>
      <c r="D228" s="15" t="s">
        <v>519</v>
      </c>
      <c r="E228" s="15" t="s">
        <v>396</v>
      </c>
      <c r="F228" s="15" t="s">
        <v>55</v>
      </c>
      <c r="G228" s="15" t="s">
        <v>56</v>
      </c>
      <c r="H228" s="15" t="s">
        <v>527</v>
      </c>
      <c r="I228" s="15" t="s">
        <v>397</v>
      </c>
      <c r="J228" s="14" t="s">
        <v>14</v>
      </c>
      <c r="K228" s="14" t="s">
        <v>14</v>
      </c>
      <c r="L228" s="14" t="s">
        <v>58</v>
      </c>
      <c r="M228" s="14"/>
      <c r="N228" s="15" t="s">
        <v>398</v>
      </c>
      <c r="O228" s="15" t="s">
        <v>4</v>
      </c>
      <c r="P228" s="16">
        <v>46320</v>
      </c>
    </row>
    <row r="229" spans="1:16" ht="126" customHeight="1">
      <c r="A229" s="14" t="s">
        <v>528</v>
      </c>
      <c r="B229" s="15" t="s">
        <v>24</v>
      </c>
      <c r="C229" s="15" t="s">
        <v>529</v>
      </c>
      <c r="D229" s="15" t="s">
        <v>519</v>
      </c>
      <c r="E229" s="15" t="s">
        <v>396</v>
      </c>
      <c r="F229" s="15" t="s">
        <v>55</v>
      </c>
      <c r="G229" s="15" t="s">
        <v>56</v>
      </c>
      <c r="H229" s="15" t="s">
        <v>529</v>
      </c>
      <c r="I229" s="15" t="s">
        <v>397</v>
      </c>
      <c r="J229" s="14" t="s">
        <v>14</v>
      </c>
      <c r="K229" s="14" t="s">
        <v>14</v>
      </c>
      <c r="L229" s="14" t="s">
        <v>58</v>
      </c>
      <c r="M229" s="14"/>
      <c r="N229" s="15" t="s">
        <v>398</v>
      </c>
      <c r="O229" s="15" t="s">
        <v>4</v>
      </c>
      <c r="P229" s="16">
        <v>46320</v>
      </c>
    </row>
    <row r="230" spans="1:16" ht="126" customHeight="1">
      <c r="A230" s="14" t="s">
        <v>530</v>
      </c>
      <c r="B230" s="15" t="s">
        <v>24</v>
      </c>
      <c r="C230" s="15" t="s">
        <v>531</v>
      </c>
      <c r="D230" s="15" t="s">
        <v>532</v>
      </c>
      <c r="E230" s="15" t="s">
        <v>396</v>
      </c>
      <c r="F230" s="15" t="s">
        <v>55</v>
      </c>
      <c r="G230" s="15" t="s">
        <v>56</v>
      </c>
      <c r="H230" s="15" t="s">
        <v>531</v>
      </c>
      <c r="I230" s="15" t="s">
        <v>397</v>
      </c>
      <c r="J230" s="14" t="s">
        <v>14</v>
      </c>
      <c r="K230" s="14" t="s">
        <v>14</v>
      </c>
      <c r="L230" s="14" t="s">
        <v>58</v>
      </c>
      <c r="M230" s="14"/>
      <c r="N230" s="15" t="s">
        <v>398</v>
      </c>
      <c r="O230" s="15" t="s">
        <v>4</v>
      </c>
      <c r="P230" s="16">
        <v>46320</v>
      </c>
    </row>
    <row r="231" spans="1:16" ht="126" customHeight="1">
      <c r="A231" s="14" t="s">
        <v>533</v>
      </c>
      <c r="B231" s="15" t="s">
        <v>24</v>
      </c>
      <c r="C231" s="15" t="s">
        <v>534</v>
      </c>
      <c r="D231" s="15" t="s">
        <v>532</v>
      </c>
      <c r="E231" s="15" t="s">
        <v>396</v>
      </c>
      <c r="F231" s="15" t="s">
        <v>55</v>
      </c>
      <c r="G231" s="15" t="s">
        <v>56</v>
      </c>
      <c r="H231" s="15" t="s">
        <v>534</v>
      </c>
      <c r="I231" s="15" t="s">
        <v>397</v>
      </c>
      <c r="J231" s="14" t="s">
        <v>14</v>
      </c>
      <c r="K231" s="14" t="s">
        <v>14</v>
      </c>
      <c r="L231" s="14" t="s">
        <v>58</v>
      </c>
      <c r="M231" s="14"/>
      <c r="N231" s="15" t="s">
        <v>398</v>
      </c>
      <c r="O231" s="15" t="s">
        <v>4</v>
      </c>
      <c r="P231" s="16">
        <v>46320</v>
      </c>
    </row>
    <row r="232" spans="1:16" ht="126" customHeight="1">
      <c r="A232" s="14" t="s">
        <v>535</v>
      </c>
      <c r="B232" s="15" t="s">
        <v>24</v>
      </c>
      <c r="C232" s="15" t="s">
        <v>536</v>
      </c>
      <c r="D232" s="15" t="s">
        <v>532</v>
      </c>
      <c r="E232" s="15" t="s">
        <v>396</v>
      </c>
      <c r="F232" s="15" t="s">
        <v>55</v>
      </c>
      <c r="G232" s="15" t="s">
        <v>56</v>
      </c>
      <c r="H232" s="15" t="s">
        <v>536</v>
      </c>
      <c r="I232" s="15" t="s">
        <v>397</v>
      </c>
      <c r="J232" s="14" t="s">
        <v>14</v>
      </c>
      <c r="K232" s="14" t="s">
        <v>14</v>
      </c>
      <c r="L232" s="14" t="s">
        <v>58</v>
      </c>
      <c r="M232" s="14"/>
      <c r="N232" s="15" t="s">
        <v>398</v>
      </c>
      <c r="O232" s="15" t="s">
        <v>4</v>
      </c>
      <c r="P232" s="16">
        <v>46320</v>
      </c>
    </row>
    <row r="233" spans="1:16" ht="126" customHeight="1">
      <c r="A233" s="14" t="s">
        <v>537</v>
      </c>
      <c r="B233" s="15" t="s">
        <v>24</v>
      </c>
      <c r="C233" s="15" t="s">
        <v>538</v>
      </c>
      <c r="D233" s="15" t="s">
        <v>532</v>
      </c>
      <c r="E233" s="15" t="s">
        <v>396</v>
      </c>
      <c r="F233" s="15" t="s">
        <v>55</v>
      </c>
      <c r="G233" s="15" t="s">
        <v>56</v>
      </c>
      <c r="H233" s="15" t="s">
        <v>538</v>
      </c>
      <c r="I233" s="15" t="s">
        <v>397</v>
      </c>
      <c r="J233" s="14" t="s">
        <v>14</v>
      </c>
      <c r="K233" s="14" t="s">
        <v>14</v>
      </c>
      <c r="L233" s="14" t="s">
        <v>58</v>
      </c>
      <c r="M233" s="14"/>
      <c r="N233" s="15" t="s">
        <v>398</v>
      </c>
      <c r="O233" s="15" t="s">
        <v>4</v>
      </c>
      <c r="P233" s="16">
        <v>46320</v>
      </c>
    </row>
    <row r="234" spans="1:16" ht="126" customHeight="1">
      <c r="A234" s="14" t="s">
        <v>539</v>
      </c>
      <c r="B234" s="15" t="s">
        <v>24</v>
      </c>
      <c r="C234" s="15" t="s">
        <v>540</v>
      </c>
      <c r="D234" s="15" t="s">
        <v>532</v>
      </c>
      <c r="E234" s="15" t="s">
        <v>396</v>
      </c>
      <c r="F234" s="15" t="s">
        <v>55</v>
      </c>
      <c r="G234" s="15" t="s">
        <v>56</v>
      </c>
      <c r="H234" s="15" t="s">
        <v>540</v>
      </c>
      <c r="I234" s="15" t="s">
        <v>397</v>
      </c>
      <c r="J234" s="14" t="s">
        <v>14</v>
      </c>
      <c r="K234" s="14" t="s">
        <v>14</v>
      </c>
      <c r="L234" s="14" t="s">
        <v>58</v>
      </c>
      <c r="M234" s="14"/>
      <c r="N234" s="15" t="s">
        <v>398</v>
      </c>
      <c r="O234" s="15" t="s">
        <v>4</v>
      </c>
      <c r="P234" s="16">
        <v>46320</v>
      </c>
    </row>
    <row r="235" spans="1:16" ht="126" customHeight="1">
      <c r="A235" s="14" t="s">
        <v>541</v>
      </c>
      <c r="B235" s="15" t="s">
        <v>24</v>
      </c>
      <c r="C235" s="15" t="s">
        <v>542</v>
      </c>
      <c r="D235" s="15" t="s">
        <v>543</v>
      </c>
      <c r="E235" s="15" t="s">
        <v>396</v>
      </c>
      <c r="F235" s="15" t="s">
        <v>55</v>
      </c>
      <c r="G235" s="15" t="s">
        <v>56</v>
      </c>
      <c r="H235" s="15" t="s">
        <v>542</v>
      </c>
      <c r="I235" s="15" t="s">
        <v>397</v>
      </c>
      <c r="J235" s="14" t="s">
        <v>14</v>
      </c>
      <c r="K235" s="14" t="s">
        <v>14</v>
      </c>
      <c r="L235" s="14" t="s">
        <v>58</v>
      </c>
      <c r="M235" s="14"/>
      <c r="N235" s="15" t="s">
        <v>398</v>
      </c>
      <c r="O235" s="15" t="s">
        <v>4</v>
      </c>
      <c r="P235" s="16">
        <v>46320</v>
      </c>
    </row>
    <row r="236" spans="1:16" ht="126" customHeight="1">
      <c r="A236" s="14" t="s">
        <v>544</v>
      </c>
      <c r="B236" s="15" t="s">
        <v>24</v>
      </c>
      <c r="C236" s="15" t="s">
        <v>545</v>
      </c>
      <c r="D236" s="15" t="s">
        <v>543</v>
      </c>
      <c r="E236" s="15" t="s">
        <v>396</v>
      </c>
      <c r="F236" s="15" t="s">
        <v>55</v>
      </c>
      <c r="G236" s="15" t="s">
        <v>56</v>
      </c>
      <c r="H236" s="15" t="s">
        <v>545</v>
      </c>
      <c r="I236" s="15" t="s">
        <v>397</v>
      </c>
      <c r="J236" s="14" t="s">
        <v>14</v>
      </c>
      <c r="K236" s="14" t="s">
        <v>14</v>
      </c>
      <c r="L236" s="14" t="s">
        <v>58</v>
      </c>
      <c r="M236" s="14"/>
      <c r="N236" s="15" t="s">
        <v>398</v>
      </c>
      <c r="O236" s="15" t="s">
        <v>4</v>
      </c>
      <c r="P236" s="16">
        <v>46320</v>
      </c>
    </row>
    <row r="237" spans="1:16" ht="126" customHeight="1">
      <c r="A237" s="14" t="s">
        <v>546</v>
      </c>
      <c r="B237" s="15" t="s">
        <v>24</v>
      </c>
      <c r="C237" s="15" t="s">
        <v>547</v>
      </c>
      <c r="D237" s="15" t="s">
        <v>543</v>
      </c>
      <c r="E237" s="15" t="s">
        <v>396</v>
      </c>
      <c r="F237" s="15" t="s">
        <v>55</v>
      </c>
      <c r="G237" s="15" t="s">
        <v>56</v>
      </c>
      <c r="H237" s="15" t="s">
        <v>547</v>
      </c>
      <c r="I237" s="15" t="s">
        <v>397</v>
      </c>
      <c r="J237" s="14" t="s">
        <v>14</v>
      </c>
      <c r="K237" s="14" t="s">
        <v>14</v>
      </c>
      <c r="L237" s="14" t="s">
        <v>58</v>
      </c>
      <c r="M237" s="14"/>
      <c r="N237" s="15" t="s">
        <v>398</v>
      </c>
      <c r="O237" s="15" t="s">
        <v>4</v>
      </c>
      <c r="P237" s="16">
        <v>46320</v>
      </c>
    </row>
    <row r="238" spans="1:16" ht="126" customHeight="1">
      <c r="A238" s="14" t="s">
        <v>548</v>
      </c>
      <c r="B238" s="15" t="s">
        <v>24</v>
      </c>
      <c r="C238" s="15" t="s">
        <v>549</v>
      </c>
      <c r="D238" s="15" t="s">
        <v>543</v>
      </c>
      <c r="E238" s="15" t="s">
        <v>396</v>
      </c>
      <c r="F238" s="15" t="s">
        <v>55</v>
      </c>
      <c r="G238" s="15" t="s">
        <v>56</v>
      </c>
      <c r="H238" s="15" t="s">
        <v>549</v>
      </c>
      <c r="I238" s="15" t="s">
        <v>397</v>
      </c>
      <c r="J238" s="14" t="s">
        <v>14</v>
      </c>
      <c r="K238" s="14" t="s">
        <v>14</v>
      </c>
      <c r="L238" s="14" t="s">
        <v>58</v>
      </c>
      <c r="M238" s="14"/>
      <c r="N238" s="15" t="s">
        <v>398</v>
      </c>
      <c r="O238" s="15" t="s">
        <v>4</v>
      </c>
      <c r="P238" s="16">
        <v>46320</v>
      </c>
    </row>
    <row r="239" spans="1:16" ht="126" customHeight="1">
      <c r="A239" s="14" t="s">
        <v>550</v>
      </c>
      <c r="B239" s="15" t="s">
        <v>24</v>
      </c>
      <c r="C239" s="15" t="s">
        <v>551</v>
      </c>
      <c r="D239" s="15" t="s">
        <v>543</v>
      </c>
      <c r="E239" s="15" t="s">
        <v>396</v>
      </c>
      <c r="F239" s="15" t="s">
        <v>55</v>
      </c>
      <c r="G239" s="15" t="s">
        <v>56</v>
      </c>
      <c r="H239" s="15" t="s">
        <v>551</v>
      </c>
      <c r="I239" s="15" t="s">
        <v>397</v>
      </c>
      <c r="J239" s="14" t="s">
        <v>14</v>
      </c>
      <c r="K239" s="14" t="s">
        <v>14</v>
      </c>
      <c r="L239" s="14" t="s">
        <v>58</v>
      </c>
      <c r="M239" s="14"/>
      <c r="N239" s="15" t="s">
        <v>398</v>
      </c>
      <c r="O239" s="15" t="s">
        <v>4</v>
      </c>
      <c r="P239" s="16">
        <v>46320</v>
      </c>
    </row>
    <row r="240" spans="1:16" ht="126" customHeight="1">
      <c r="A240" s="14" t="s">
        <v>552</v>
      </c>
      <c r="B240" s="15" t="s">
        <v>24</v>
      </c>
      <c r="C240" s="15" t="s">
        <v>553</v>
      </c>
      <c r="D240" s="15" t="s">
        <v>543</v>
      </c>
      <c r="E240" s="15" t="s">
        <v>396</v>
      </c>
      <c r="F240" s="15" t="s">
        <v>55</v>
      </c>
      <c r="G240" s="15" t="s">
        <v>56</v>
      </c>
      <c r="H240" s="15" t="s">
        <v>553</v>
      </c>
      <c r="I240" s="15" t="s">
        <v>397</v>
      </c>
      <c r="J240" s="14" t="s">
        <v>14</v>
      </c>
      <c r="K240" s="14" t="s">
        <v>14</v>
      </c>
      <c r="L240" s="14" t="s">
        <v>58</v>
      </c>
      <c r="M240" s="14"/>
      <c r="N240" s="15" t="s">
        <v>398</v>
      </c>
      <c r="O240" s="15" t="s">
        <v>4</v>
      </c>
      <c r="P240" s="16">
        <v>46320</v>
      </c>
    </row>
    <row r="241" spans="1:16" ht="126" customHeight="1">
      <c r="A241" s="14" t="s">
        <v>554</v>
      </c>
      <c r="B241" s="15" t="s">
        <v>24</v>
      </c>
      <c r="C241" s="15" t="s">
        <v>555</v>
      </c>
      <c r="D241" s="15" t="s">
        <v>556</v>
      </c>
      <c r="E241" s="15" t="s">
        <v>396</v>
      </c>
      <c r="F241" s="15" t="s">
        <v>55</v>
      </c>
      <c r="G241" s="15" t="s">
        <v>56</v>
      </c>
      <c r="H241" s="15" t="s">
        <v>555</v>
      </c>
      <c r="I241" s="15" t="s">
        <v>397</v>
      </c>
      <c r="J241" s="14" t="s">
        <v>14</v>
      </c>
      <c r="K241" s="14" t="s">
        <v>14</v>
      </c>
      <c r="L241" s="14" t="s">
        <v>58</v>
      </c>
      <c r="M241" s="14"/>
      <c r="N241" s="15" t="s">
        <v>398</v>
      </c>
      <c r="O241" s="15" t="s">
        <v>4</v>
      </c>
      <c r="P241" s="16">
        <v>46320</v>
      </c>
    </row>
    <row r="242" spans="1:16" ht="126" customHeight="1">
      <c r="A242" s="14" t="s">
        <v>557</v>
      </c>
      <c r="B242" s="15" t="s">
        <v>24</v>
      </c>
      <c r="C242" s="15" t="s">
        <v>558</v>
      </c>
      <c r="D242" s="15" t="s">
        <v>559</v>
      </c>
      <c r="E242" s="15" t="s">
        <v>396</v>
      </c>
      <c r="F242" s="15" t="s">
        <v>55</v>
      </c>
      <c r="G242" s="15" t="s">
        <v>56</v>
      </c>
      <c r="H242" s="15" t="s">
        <v>558</v>
      </c>
      <c r="I242" s="15" t="s">
        <v>397</v>
      </c>
      <c r="J242" s="14" t="s">
        <v>14</v>
      </c>
      <c r="K242" s="14" t="s">
        <v>14</v>
      </c>
      <c r="L242" s="14" t="s">
        <v>58</v>
      </c>
      <c r="M242" s="14"/>
      <c r="N242" s="15" t="s">
        <v>398</v>
      </c>
      <c r="O242" s="15" t="s">
        <v>4</v>
      </c>
      <c r="P242" s="16">
        <v>46320</v>
      </c>
    </row>
    <row r="243" spans="1:16" ht="126" customHeight="1">
      <c r="A243" s="14" t="s">
        <v>560</v>
      </c>
      <c r="B243" s="15" t="s">
        <v>24</v>
      </c>
      <c r="C243" s="15" t="s">
        <v>561</v>
      </c>
      <c r="D243" s="15" t="s">
        <v>562</v>
      </c>
      <c r="E243" s="15" t="s">
        <v>396</v>
      </c>
      <c r="F243" s="15" t="s">
        <v>55</v>
      </c>
      <c r="G243" s="15" t="s">
        <v>56</v>
      </c>
      <c r="H243" s="15" t="s">
        <v>561</v>
      </c>
      <c r="I243" s="15" t="s">
        <v>397</v>
      </c>
      <c r="J243" s="14" t="s">
        <v>14</v>
      </c>
      <c r="K243" s="14" t="s">
        <v>14</v>
      </c>
      <c r="L243" s="14" t="s">
        <v>58</v>
      </c>
      <c r="M243" s="14"/>
      <c r="N243" s="15" t="s">
        <v>398</v>
      </c>
      <c r="O243" s="15" t="s">
        <v>4</v>
      </c>
      <c r="P243" s="16">
        <v>46320</v>
      </c>
    </row>
    <row r="244" spans="1:16" ht="126" customHeight="1">
      <c r="A244" s="14" t="s">
        <v>563</v>
      </c>
      <c r="B244" s="15" t="s">
        <v>24</v>
      </c>
      <c r="C244" s="15" t="s">
        <v>564</v>
      </c>
      <c r="D244" s="15" t="s">
        <v>562</v>
      </c>
      <c r="E244" s="15" t="s">
        <v>396</v>
      </c>
      <c r="F244" s="15" t="s">
        <v>55</v>
      </c>
      <c r="G244" s="15" t="s">
        <v>56</v>
      </c>
      <c r="H244" s="15" t="s">
        <v>564</v>
      </c>
      <c r="I244" s="15" t="s">
        <v>397</v>
      </c>
      <c r="J244" s="14" t="s">
        <v>14</v>
      </c>
      <c r="K244" s="14" t="s">
        <v>14</v>
      </c>
      <c r="L244" s="14" t="s">
        <v>58</v>
      </c>
      <c r="M244" s="14"/>
      <c r="N244" s="15" t="s">
        <v>398</v>
      </c>
      <c r="O244" s="15" t="s">
        <v>4</v>
      </c>
      <c r="P244" s="16">
        <v>46320</v>
      </c>
    </row>
    <row r="245" spans="1:16" ht="126" customHeight="1">
      <c r="A245" s="14" t="s">
        <v>565</v>
      </c>
      <c r="B245" s="15" t="s">
        <v>24</v>
      </c>
      <c r="C245" s="15" t="s">
        <v>566</v>
      </c>
      <c r="D245" s="15" t="s">
        <v>562</v>
      </c>
      <c r="E245" s="15" t="s">
        <v>396</v>
      </c>
      <c r="F245" s="15" t="s">
        <v>55</v>
      </c>
      <c r="G245" s="15" t="s">
        <v>56</v>
      </c>
      <c r="H245" s="15" t="s">
        <v>566</v>
      </c>
      <c r="I245" s="15" t="s">
        <v>397</v>
      </c>
      <c r="J245" s="14" t="s">
        <v>14</v>
      </c>
      <c r="K245" s="14" t="s">
        <v>14</v>
      </c>
      <c r="L245" s="14" t="s">
        <v>58</v>
      </c>
      <c r="M245" s="14"/>
      <c r="N245" s="15" t="s">
        <v>398</v>
      </c>
      <c r="O245" s="15" t="s">
        <v>4</v>
      </c>
      <c r="P245" s="16">
        <v>46320</v>
      </c>
    </row>
    <row r="246" spans="1:16" ht="126" customHeight="1">
      <c r="A246" s="14" t="s">
        <v>567</v>
      </c>
      <c r="B246" s="15" t="s">
        <v>24</v>
      </c>
      <c r="C246" s="15" t="s">
        <v>568</v>
      </c>
      <c r="D246" s="15" t="s">
        <v>562</v>
      </c>
      <c r="E246" s="15" t="s">
        <v>396</v>
      </c>
      <c r="F246" s="15" t="s">
        <v>55</v>
      </c>
      <c r="G246" s="15" t="s">
        <v>56</v>
      </c>
      <c r="H246" s="15" t="s">
        <v>568</v>
      </c>
      <c r="I246" s="15" t="s">
        <v>397</v>
      </c>
      <c r="J246" s="14" t="s">
        <v>14</v>
      </c>
      <c r="K246" s="14" t="s">
        <v>14</v>
      </c>
      <c r="L246" s="14" t="s">
        <v>58</v>
      </c>
      <c r="M246" s="14"/>
      <c r="N246" s="15" t="s">
        <v>398</v>
      </c>
      <c r="O246" s="15" t="s">
        <v>4</v>
      </c>
      <c r="P246" s="16">
        <v>46320</v>
      </c>
    </row>
    <row r="247" spans="1:16" ht="126" customHeight="1">
      <c r="A247" s="14" t="s">
        <v>569</v>
      </c>
      <c r="B247" s="15" t="s">
        <v>24</v>
      </c>
      <c r="C247" s="15" t="s">
        <v>570</v>
      </c>
      <c r="D247" s="15" t="s">
        <v>562</v>
      </c>
      <c r="E247" s="15" t="s">
        <v>396</v>
      </c>
      <c r="F247" s="15" t="s">
        <v>55</v>
      </c>
      <c r="G247" s="15" t="s">
        <v>56</v>
      </c>
      <c r="H247" s="15" t="s">
        <v>570</v>
      </c>
      <c r="I247" s="15" t="s">
        <v>397</v>
      </c>
      <c r="J247" s="14" t="s">
        <v>14</v>
      </c>
      <c r="K247" s="14" t="s">
        <v>14</v>
      </c>
      <c r="L247" s="14" t="s">
        <v>58</v>
      </c>
      <c r="M247" s="14"/>
      <c r="N247" s="15" t="s">
        <v>398</v>
      </c>
      <c r="O247" s="15" t="s">
        <v>4</v>
      </c>
      <c r="P247" s="16">
        <v>46320</v>
      </c>
    </row>
    <row r="248" spans="1:16" ht="126" customHeight="1">
      <c r="A248" s="14" t="s">
        <v>571</v>
      </c>
      <c r="B248" s="15" t="s">
        <v>24</v>
      </c>
      <c r="C248" s="15" t="s">
        <v>572</v>
      </c>
      <c r="D248" s="15" t="s">
        <v>562</v>
      </c>
      <c r="E248" s="15" t="s">
        <v>396</v>
      </c>
      <c r="F248" s="15" t="s">
        <v>55</v>
      </c>
      <c r="G248" s="15" t="s">
        <v>56</v>
      </c>
      <c r="H248" s="15" t="s">
        <v>572</v>
      </c>
      <c r="I248" s="15" t="s">
        <v>397</v>
      </c>
      <c r="J248" s="14" t="s">
        <v>14</v>
      </c>
      <c r="K248" s="14" t="s">
        <v>14</v>
      </c>
      <c r="L248" s="14" t="s">
        <v>58</v>
      </c>
      <c r="M248" s="14"/>
      <c r="N248" s="15" t="s">
        <v>398</v>
      </c>
      <c r="O248" s="15" t="s">
        <v>4</v>
      </c>
      <c r="P248" s="16">
        <v>46320</v>
      </c>
    </row>
    <row r="249" spans="1:16" ht="126" customHeight="1">
      <c r="A249" s="14" t="s">
        <v>573</v>
      </c>
      <c r="B249" s="15" t="s">
        <v>24</v>
      </c>
      <c r="C249" s="15" t="s">
        <v>574</v>
      </c>
      <c r="D249" s="15" t="s">
        <v>562</v>
      </c>
      <c r="E249" s="15" t="s">
        <v>396</v>
      </c>
      <c r="F249" s="15" t="s">
        <v>55</v>
      </c>
      <c r="G249" s="15" t="s">
        <v>56</v>
      </c>
      <c r="H249" s="15" t="s">
        <v>574</v>
      </c>
      <c r="I249" s="15" t="s">
        <v>397</v>
      </c>
      <c r="J249" s="14" t="s">
        <v>14</v>
      </c>
      <c r="K249" s="14" t="s">
        <v>14</v>
      </c>
      <c r="L249" s="14" t="s">
        <v>58</v>
      </c>
      <c r="M249" s="14"/>
      <c r="N249" s="15" t="s">
        <v>398</v>
      </c>
      <c r="O249" s="15" t="s">
        <v>4</v>
      </c>
      <c r="P249" s="16">
        <v>46320</v>
      </c>
    </row>
    <row r="250" spans="1:16" ht="126" customHeight="1">
      <c r="A250" s="14" t="s">
        <v>575</v>
      </c>
      <c r="B250" s="15" t="s">
        <v>24</v>
      </c>
      <c r="C250" s="15" t="s">
        <v>576</v>
      </c>
      <c r="D250" s="15" t="s">
        <v>562</v>
      </c>
      <c r="E250" s="15" t="s">
        <v>396</v>
      </c>
      <c r="F250" s="15" t="s">
        <v>55</v>
      </c>
      <c r="G250" s="15" t="s">
        <v>56</v>
      </c>
      <c r="H250" s="15" t="s">
        <v>576</v>
      </c>
      <c r="I250" s="15" t="s">
        <v>397</v>
      </c>
      <c r="J250" s="14" t="s">
        <v>14</v>
      </c>
      <c r="K250" s="14" t="s">
        <v>14</v>
      </c>
      <c r="L250" s="14" t="s">
        <v>58</v>
      </c>
      <c r="M250" s="14"/>
      <c r="N250" s="15" t="s">
        <v>398</v>
      </c>
      <c r="O250" s="15" t="s">
        <v>4</v>
      </c>
      <c r="P250" s="16">
        <v>46320</v>
      </c>
    </row>
    <row r="251" spans="1:16" ht="126" customHeight="1">
      <c r="A251" s="14" t="s">
        <v>577</v>
      </c>
      <c r="B251" s="15" t="s">
        <v>24</v>
      </c>
      <c r="C251" s="15" t="s">
        <v>578</v>
      </c>
      <c r="D251" s="15" t="s">
        <v>562</v>
      </c>
      <c r="E251" s="15" t="s">
        <v>396</v>
      </c>
      <c r="F251" s="15" t="s">
        <v>55</v>
      </c>
      <c r="G251" s="15" t="s">
        <v>56</v>
      </c>
      <c r="H251" s="15" t="s">
        <v>578</v>
      </c>
      <c r="I251" s="15" t="s">
        <v>397</v>
      </c>
      <c r="J251" s="14" t="s">
        <v>14</v>
      </c>
      <c r="K251" s="14" t="s">
        <v>14</v>
      </c>
      <c r="L251" s="14" t="s">
        <v>58</v>
      </c>
      <c r="M251" s="14"/>
      <c r="N251" s="15" t="s">
        <v>398</v>
      </c>
      <c r="O251" s="15" t="s">
        <v>4</v>
      </c>
      <c r="P251" s="16">
        <v>46320</v>
      </c>
    </row>
    <row r="252" spans="1:16" ht="126" customHeight="1">
      <c r="A252" s="14" t="s">
        <v>579</v>
      </c>
      <c r="B252" s="15" t="s">
        <v>24</v>
      </c>
      <c r="C252" s="15" t="s">
        <v>580</v>
      </c>
      <c r="D252" s="15" t="s">
        <v>562</v>
      </c>
      <c r="E252" s="15" t="s">
        <v>396</v>
      </c>
      <c r="F252" s="15" t="s">
        <v>55</v>
      </c>
      <c r="G252" s="15" t="s">
        <v>56</v>
      </c>
      <c r="H252" s="15" t="s">
        <v>580</v>
      </c>
      <c r="I252" s="15" t="s">
        <v>397</v>
      </c>
      <c r="J252" s="14" t="s">
        <v>14</v>
      </c>
      <c r="K252" s="14" t="s">
        <v>14</v>
      </c>
      <c r="L252" s="14" t="s">
        <v>58</v>
      </c>
      <c r="M252" s="14"/>
      <c r="N252" s="15" t="s">
        <v>398</v>
      </c>
      <c r="O252" s="15" t="s">
        <v>4</v>
      </c>
      <c r="P252" s="16">
        <v>46320</v>
      </c>
    </row>
    <row r="253" spans="1:16" ht="126" customHeight="1">
      <c r="A253" s="14" t="s">
        <v>581</v>
      </c>
      <c r="B253" s="15" t="s">
        <v>24</v>
      </c>
      <c r="C253" s="15" t="s">
        <v>582</v>
      </c>
      <c r="D253" s="15" t="s">
        <v>562</v>
      </c>
      <c r="E253" s="15" t="s">
        <v>396</v>
      </c>
      <c r="F253" s="15" t="s">
        <v>55</v>
      </c>
      <c r="G253" s="15" t="s">
        <v>56</v>
      </c>
      <c r="H253" s="15" t="s">
        <v>582</v>
      </c>
      <c r="I253" s="15" t="s">
        <v>397</v>
      </c>
      <c r="J253" s="14" t="s">
        <v>14</v>
      </c>
      <c r="K253" s="14" t="s">
        <v>14</v>
      </c>
      <c r="L253" s="14" t="s">
        <v>58</v>
      </c>
      <c r="M253" s="14"/>
      <c r="N253" s="15" t="s">
        <v>398</v>
      </c>
      <c r="O253" s="15" t="s">
        <v>4</v>
      </c>
      <c r="P253" s="16">
        <v>46320</v>
      </c>
    </row>
    <row r="254" spans="1:16" ht="126" customHeight="1">
      <c r="A254" s="14" t="s">
        <v>583</v>
      </c>
      <c r="B254" s="15" t="s">
        <v>24</v>
      </c>
      <c r="C254" s="15" t="s">
        <v>584</v>
      </c>
      <c r="D254" s="15" t="s">
        <v>562</v>
      </c>
      <c r="E254" s="15" t="s">
        <v>396</v>
      </c>
      <c r="F254" s="15" t="s">
        <v>55</v>
      </c>
      <c r="G254" s="15" t="s">
        <v>56</v>
      </c>
      <c r="H254" s="15" t="s">
        <v>584</v>
      </c>
      <c r="I254" s="15" t="s">
        <v>397</v>
      </c>
      <c r="J254" s="14" t="s">
        <v>14</v>
      </c>
      <c r="K254" s="14" t="s">
        <v>14</v>
      </c>
      <c r="L254" s="14" t="s">
        <v>58</v>
      </c>
      <c r="M254" s="14"/>
      <c r="N254" s="15" t="s">
        <v>398</v>
      </c>
      <c r="O254" s="15" t="s">
        <v>4</v>
      </c>
      <c r="P254" s="16">
        <v>46320</v>
      </c>
    </row>
    <row r="255" spans="1:16" ht="126" customHeight="1">
      <c r="A255" s="14" t="s">
        <v>585</v>
      </c>
      <c r="B255" s="15" t="s">
        <v>24</v>
      </c>
      <c r="C255" s="15" t="s">
        <v>586</v>
      </c>
      <c r="D255" s="15" t="s">
        <v>562</v>
      </c>
      <c r="E255" s="15" t="s">
        <v>396</v>
      </c>
      <c r="F255" s="15" t="s">
        <v>55</v>
      </c>
      <c r="G255" s="15" t="s">
        <v>56</v>
      </c>
      <c r="H255" s="15" t="s">
        <v>586</v>
      </c>
      <c r="I255" s="15" t="s">
        <v>397</v>
      </c>
      <c r="J255" s="14" t="s">
        <v>14</v>
      </c>
      <c r="K255" s="14" t="s">
        <v>14</v>
      </c>
      <c r="L255" s="14" t="s">
        <v>58</v>
      </c>
      <c r="M255" s="14"/>
      <c r="N255" s="15" t="s">
        <v>398</v>
      </c>
      <c r="O255" s="15" t="s">
        <v>4</v>
      </c>
      <c r="P255" s="16">
        <v>46320</v>
      </c>
    </row>
    <row r="256" spans="1:16" ht="126" customHeight="1">
      <c r="A256" s="14" t="s">
        <v>587</v>
      </c>
      <c r="B256" s="15" t="s">
        <v>24</v>
      </c>
      <c r="C256" s="15" t="s">
        <v>588</v>
      </c>
      <c r="D256" s="15" t="s">
        <v>562</v>
      </c>
      <c r="E256" s="15" t="s">
        <v>396</v>
      </c>
      <c r="F256" s="15" t="s">
        <v>55</v>
      </c>
      <c r="G256" s="15" t="s">
        <v>56</v>
      </c>
      <c r="H256" s="15" t="s">
        <v>588</v>
      </c>
      <c r="I256" s="15" t="s">
        <v>397</v>
      </c>
      <c r="J256" s="14" t="s">
        <v>14</v>
      </c>
      <c r="K256" s="14" t="s">
        <v>14</v>
      </c>
      <c r="L256" s="14" t="s">
        <v>58</v>
      </c>
      <c r="M256" s="14"/>
      <c r="N256" s="15" t="s">
        <v>398</v>
      </c>
      <c r="O256" s="15" t="s">
        <v>4</v>
      </c>
      <c r="P256" s="16">
        <v>46320</v>
      </c>
    </row>
    <row r="257" spans="1:16" ht="126" customHeight="1">
      <c r="A257" s="14" t="s">
        <v>589</v>
      </c>
      <c r="B257" s="15" t="s">
        <v>24</v>
      </c>
      <c r="C257" s="15" t="s">
        <v>590</v>
      </c>
      <c r="D257" s="15" t="s">
        <v>562</v>
      </c>
      <c r="E257" s="15" t="s">
        <v>396</v>
      </c>
      <c r="F257" s="15" t="s">
        <v>55</v>
      </c>
      <c r="G257" s="15" t="s">
        <v>56</v>
      </c>
      <c r="H257" s="15" t="s">
        <v>590</v>
      </c>
      <c r="I257" s="15" t="s">
        <v>397</v>
      </c>
      <c r="J257" s="14" t="s">
        <v>14</v>
      </c>
      <c r="K257" s="14" t="s">
        <v>14</v>
      </c>
      <c r="L257" s="14" t="s">
        <v>58</v>
      </c>
      <c r="M257" s="14"/>
      <c r="N257" s="15" t="s">
        <v>398</v>
      </c>
      <c r="O257" s="15" t="s">
        <v>4</v>
      </c>
      <c r="P257" s="16">
        <v>46320</v>
      </c>
    </row>
    <row r="258" spans="1:16" ht="126" customHeight="1">
      <c r="A258" s="14" t="s">
        <v>591</v>
      </c>
      <c r="B258" s="15" t="s">
        <v>24</v>
      </c>
      <c r="C258" s="15" t="s">
        <v>592</v>
      </c>
      <c r="D258" s="15" t="s">
        <v>562</v>
      </c>
      <c r="E258" s="15" t="s">
        <v>396</v>
      </c>
      <c r="F258" s="15" t="s">
        <v>55</v>
      </c>
      <c r="G258" s="15" t="s">
        <v>56</v>
      </c>
      <c r="H258" s="15" t="s">
        <v>592</v>
      </c>
      <c r="I258" s="15" t="s">
        <v>397</v>
      </c>
      <c r="J258" s="14" t="s">
        <v>14</v>
      </c>
      <c r="K258" s="14" t="s">
        <v>14</v>
      </c>
      <c r="L258" s="14" t="s">
        <v>58</v>
      </c>
      <c r="M258" s="14"/>
      <c r="N258" s="15" t="s">
        <v>398</v>
      </c>
      <c r="O258" s="15" t="s">
        <v>4</v>
      </c>
      <c r="P258" s="16">
        <v>46320</v>
      </c>
    </row>
    <row r="259" spans="1:16" ht="126" customHeight="1">
      <c r="A259" s="14" t="s">
        <v>593</v>
      </c>
      <c r="B259" s="15" t="s">
        <v>24</v>
      </c>
      <c r="C259" s="15" t="s">
        <v>594</v>
      </c>
      <c r="D259" s="15" t="s">
        <v>562</v>
      </c>
      <c r="E259" s="15" t="s">
        <v>396</v>
      </c>
      <c r="F259" s="15" t="s">
        <v>55</v>
      </c>
      <c r="G259" s="15" t="s">
        <v>56</v>
      </c>
      <c r="H259" s="15" t="s">
        <v>594</v>
      </c>
      <c r="I259" s="15" t="s">
        <v>397</v>
      </c>
      <c r="J259" s="14" t="s">
        <v>14</v>
      </c>
      <c r="K259" s="14" t="s">
        <v>14</v>
      </c>
      <c r="L259" s="14" t="s">
        <v>58</v>
      </c>
      <c r="M259" s="14"/>
      <c r="N259" s="15" t="s">
        <v>398</v>
      </c>
      <c r="O259" s="15" t="s">
        <v>4</v>
      </c>
      <c r="P259" s="16">
        <v>46320</v>
      </c>
    </row>
    <row r="260" spans="1:16" ht="126" customHeight="1">
      <c r="A260" s="14" t="s">
        <v>595</v>
      </c>
      <c r="B260" s="15" t="s">
        <v>24</v>
      </c>
      <c r="C260" s="15" t="s">
        <v>596</v>
      </c>
      <c r="D260" s="15" t="s">
        <v>597</v>
      </c>
      <c r="E260" s="15" t="s">
        <v>396</v>
      </c>
      <c r="F260" s="15" t="s">
        <v>55</v>
      </c>
      <c r="G260" s="15" t="s">
        <v>56</v>
      </c>
      <c r="H260" s="15" t="s">
        <v>596</v>
      </c>
      <c r="I260" s="15" t="s">
        <v>397</v>
      </c>
      <c r="J260" s="14" t="s">
        <v>14</v>
      </c>
      <c r="K260" s="14" t="s">
        <v>14</v>
      </c>
      <c r="L260" s="14" t="s">
        <v>58</v>
      </c>
      <c r="M260" s="14"/>
      <c r="N260" s="15" t="s">
        <v>398</v>
      </c>
      <c r="O260" s="15" t="s">
        <v>4</v>
      </c>
      <c r="P260" s="16">
        <v>46320</v>
      </c>
    </row>
    <row r="261" spans="1:16" ht="126" customHeight="1">
      <c r="A261" s="14" t="s">
        <v>598</v>
      </c>
      <c r="B261" s="15" t="s">
        <v>24</v>
      </c>
      <c r="C261" s="15" t="s">
        <v>599</v>
      </c>
      <c r="D261" s="15" t="s">
        <v>597</v>
      </c>
      <c r="E261" s="15" t="s">
        <v>396</v>
      </c>
      <c r="F261" s="15" t="s">
        <v>55</v>
      </c>
      <c r="G261" s="15" t="s">
        <v>56</v>
      </c>
      <c r="H261" s="15" t="s">
        <v>599</v>
      </c>
      <c r="I261" s="15" t="s">
        <v>397</v>
      </c>
      <c r="J261" s="14" t="s">
        <v>14</v>
      </c>
      <c r="K261" s="14" t="s">
        <v>14</v>
      </c>
      <c r="L261" s="14" t="s">
        <v>58</v>
      </c>
      <c r="M261" s="14"/>
      <c r="N261" s="15" t="s">
        <v>398</v>
      </c>
      <c r="O261" s="15" t="s">
        <v>4</v>
      </c>
      <c r="P261" s="16">
        <v>46320</v>
      </c>
    </row>
    <row r="262" spans="1:16" ht="126" customHeight="1">
      <c r="A262" s="14" t="s">
        <v>600</v>
      </c>
      <c r="B262" s="15" t="s">
        <v>24</v>
      </c>
      <c r="C262" s="15" t="s">
        <v>601</v>
      </c>
      <c r="D262" s="15" t="s">
        <v>597</v>
      </c>
      <c r="E262" s="15" t="s">
        <v>396</v>
      </c>
      <c r="F262" s="15" t="s">
        <v>55</v>
      </c>
      <c r="G262" s="15" t="s">
        <v>56</v>
      </c>
      <c r="H262" s="15" t="s">
        <v>601</v>
      </c>
      <c r="I262" s="15" t="s">
        <v>397</v>
      </c>
      <c r="J262" s="14" t="s">
        <v>14</v>
      </c>
      <c r="K262" s="14" t="s">
        <v>14</v>
      </c>
      <c r="L262" s="14" t="s">
        <v>58</v>
      </c>
      <c r="M262" s="14"/>
      <c r="N262" s="15" t="s">
        <v>398</v>
      </c>
      <c r="O262" s="15" t="s">
        <v>4</v>
      </c>
      <c r="P262" s="16">
        <v>46320</v>
      </c>
    </row>
    <row r="263" spans="1:16" ht="126" customHeight="1">
      <c r="A263" s="14" t="s">
        <v>602</v>
      </c>
      <c r="B263" s="15" t="s">
        <v>24</v>
      </c>
      <c r="C263" s="15" t="s">
        <v>603</v>
      </c>
      <c r="D263" s="15" t="s">
        <v>597</v>
      </c>
      <c r="E263" s="15" t="s">
        <v>396</v>
      </c>
      <c r="F263" s="15" t="s">
        <v>55</v>
      </c>
      <c r="G263" s="15" t="s">
        <v>56</v>
      </c>
      <c r="H263" s="15" t="s">
        <v>603</v>
      </c>
      <c r="I263" s="15" t="s">
        <v>397</v>
      </c>
      <c r="J263" s="14" t="s">
        <v>14</v>
      </c>
      <c r="K263" s="14" t="s">
        <v>14</v>
      </c>
      <c r="L263" s="14" t="s">
        <v>58</v>
      </c>
      <c r="M263" s="14"/>
      <c r="N263" s="15" t="s">
        <v>398</v>
      </c>
      <c r="O263" s="15" t="s">
        <v>4</v>
      </c>
      <c r="P263" s="16">
        <v>46320</v>
      </c>
    </row>
    <row r="264" spans="1:16" ht="126" customHeight="1">
      <c r="A264" s="14" t="s">
        <v>604</v>
      </c>
      <c r="B264" s="15" t="s">
        <v>24</v>
      </c>
      <c r="C264" s="15" t="s">
        <v>605</v>
      </c>
      <c r="D264" s="15" t="s">
        <v>597</v>
      </c>
      <c r="E264" s="15" t="s">
        <v>396</v>
      </c>
      <c r="F264" s="15" t="s">
        <v>55</v>
      </c>
      <c r="G264" s="15" t="s">
        <v>56</v>
      </c>
      <c r="H264" s="15" t="s">
        <v>605</v>
      </c>
      <c r="I264" s="15" t="s">
        <v>397</v>
      </c>
      <c r="J264" s="14" t="s">
        <v>14</v>
      </c>
      <c r="K264" s="14" t="s">
        <v>14</v>
      </c>
      <c r="L264" s="14" t="s">
        <v>58</v>
      </c>
      <c r="M264" s="14"/>
      <c r="N264" s="15" t="s">
        <v>398</v>
      </c>
      <c r="O264" s="15" t="s">
        <v>4</v>
      </c>
      <c r="P264" s="16">
        <v>46320</v>
      </c>
    </row>
    <row r="265" spans="1:16" ht="126" customHeight="1">
      <c r="A265" s="14" t="s">
        <v>606</v>
      </c>
      <c r="B265" s="15" t="s">
        <v>24</v>
      </c>
      <c r="C265" s="15" t="s">
        <v>607</v>
      </c>
      <c r="D265" s="15" t="s">
        <v>597</v>
      </c>
      <c r="E265" s="15" t="s">
        <v>396</v>
      </c>
      <c r="F265" s="15" t="s">
        <v>55</v>
      </c>
      <c r="G265" s="15" t="s">
        <v>56</v>
      </c>
      <c r="H265" s="15" t="s">
        <v>607</v>
      </c>
      <c r="I265" s="15" t="s">
        <v>397</v>
      </c>
      <c r="J265" s="14" t="s">
        <v>14</v>
      </c>
      <c r="K265" s="14" t="s">
        <v>14</v>
      </c>
      <c r="L265" s="14" t="s">
        <v>58</v>
      </c>
      <c r="M265" s="14"/>
      <c r="N265" s="15" t="s">
        <v>398</v>
      </c>
      <c r="O265" s="15" t="s">
        <v>4</v>
      </c>
      <c r="P265" s="16">
        <v>46320</v>
      </c>
    </row>
    <row r="266" spans="1:16" ht="126" customHeight="1">
      <c r="A266" s="14" t="s">
        <v>608</v>
      </c>
      <c r="B266" s="15" t="s">
        <v>24</v>
      </c>
      <c r="C266" s="15" t="s">
        <v>609</v>
      </c>
      <c r="D266" s="15" t="s">
        <v>597</v>
      </c>
      <c r="E266" s="15" t="s">
        <v>396</v>
      </c>
      <c r="F266" s="15" t="s">
        <v>55</v>
      </c>
      <c r="G266" s="15" t="s">
        <v>56</v>
      </c>
      <c r="H266" s="15" t="s">
        <v>609</v>
      </c>
      <c r="I266" s="15" t="s">
        <v>397</v>
      </c>
      <c r="J266" s="14" t="s">
        <v>14</v>
      </c>
      <c r="K266" s="14" t="s">
        <v>14</v>
      </c>
      <c r="L266" s="14" t="s">
        <v>58</v>
      </c>
      <c r="M266" s="14"/>
      <c r="N266" s="15" t="s">
        <v>398</v>
      </c>
      <c r="O266" s="15" t="s">
        <v>4</v>
      </c>
      <c r="P266" s="16">
        <v>46320</v>
      </c>
    </row>
    <row r="267" spans="1:16" ht="126" customHeight="1">
      <c r="A267" s="14" t="s">
        <v>610</v>
      </c>
      <c r="B267" s="15" t="s">
        <v>24</v>
      </c>
      <c r="C267" s="15" t="s">
        <v>611</v>
      </c>
      <c r="D267" s="15" t="s">
        <v>597</v>
      </c>
      <c r="E267" s="15" t="s">
        <v>396</v>
      </c>
      <c r="F267" s="15" t="s">
        <v>55</v>
      </c>
      <c r="G267" s="15" t="s">
        <v>56</v>
      </c>
      <c r="H267" s="15" t="s">
        <v>611</v>
      </c>
      <c r="I267" s="15" t="s">
        <v>397</v>
      </c>
      <c r="J267" s="14" t="s">
        <v>14</v>
      </c>
      <c r="K267" s="14" t="s">
        <v>14</v>
      </c>
      <c r="L267" s="14" t="s">
        <v>58</v>
      </c>
      <c r="M267" s="14"/>
      <c r="N267" s="15" t="s">
        <v>398</v>
      </c>
      <c r="O267" s="15" t="s">
        <v>4</v>
      </c>
      <c r="P267" s="16">
        <v>46320</v>
      </c>
    </row>
    <row r="268" spans="1:16" ht="126" customHeight="1">
      <c r="A268" s="14" t="s">
        <v>612</v>
      </c>
      <c r="B268" s="15" t="s">
        <v>24</v>
      </c>
      <c r="C268" s="15" t="s">
        <v>613</v>
      </c>
      <c r="D268" s="15" t="s">
        <v>614</v>
      </c>
      <c r="E268" s="15" t="s">
        <v>396</v>
      </c>
      <c r="F268" s="15" t="s">
        <v>55</v>
      </c>
      <c r="G268" s="15" t="s">
        <v>56</v>
      </c>
      <c r="H268" s="15" t="s">
        <v>613</v>
      </c>
      <c r="I268" s="15" t="s">
        <v>397</v>
      </c>
      <c r="J268" s="14" t="s">
        <v>14</v>
      </c>
      <c r="K268" s="14" t="s">
        <v>14</v>
      </c>
      <c r="L268" s="14" t="s">
        <v>58</v>
      </c>
      <c r="M268" s="14"/>
      <c r="N268" s="15" t="s">
        <v>398</v>
      </c>
      <c r="O268" s="15" t="s">
        <v>4</v>
      </c>
      <c r="P268" s="16">
        <v>46320</v>
      </c>
    </row>
    <row r="269" spans="1:16" ht="126" customHeight="1">
      <c r="A269" s="14" t="s">
        <v>615</v>
      </c>
      <c r="B269" s="15" t="s">
        <v>24</v>
      </c>
      <c r="C269" s="15" t="s">
        <v>616</v>
      </c>
      <c r="D269" s="15" t="s">
        <v>614</v>
      </c>
      <c r="E269" s="15" t="s">
        <v>396</v>
      </c>
      <c r="F269" s="15" t="s">
        <v>55</v>
      </c>
      <c r="G269" s="15" t="s">
        <v>56</v>
      </c>
      <c r="H269" s="15" t="s">
        <v>616</v>
      </c>
      <c r="I269" s="15" t="s">
        <v>397</v>
      </c>
      <c r="J269" s="14" t="s">
        <v>14</v>
      </c>
      <c r="K269" s="14" t="s">
        <v>14</v>
      </c>
      <c r="L269" s="14" t="s">
        <v>58</v>
      </c>
      <c r="M269" s="14"/>
      <c r="N269" s="15" t="s">
        <v>398</v>
      </c>
      <c r="O269" s="15" t="s">
        <v>4</v>
      </c>
      <c r="P269" s="16">
        <v>46320</v>
      </c>
    </row>
    <row r="270" spans="1:16" ht="126" customHeight="1">
      <c r="A270" s="14" t="s">
        <v>617</v>
      </c>
      <c r="B270" s="15" t="s">
        <v>24</v>
      </c>
      <c r="C270" s="15" t="s">
        <v>618</v>
      </c>
      <c r="D270" s="15" t="s">
        <v>614</v>
      </c>
      <c r="E270" s="15" t="s">
        <v>396</v>
      </c>
      <c r="F270" s="15" t="s">
        <v>55</v>
      </c>
      <c r="G270" s="15" t="s">
        <v>56</v>
      </c>
      <c r="H270" s="15" t="s">
        <v>618</v>
      </c>
      <c r="I270" s="15" t="s">
        <v>397</v>
      </c>
      <c r="J270" s="14" t="s">
        <v>14</v>
      </c>
      <c r="K270" s="14" t="s">
        <v>14</v>
      </c>
      <c r="L270" s="14" t="s">
        <v>58</v>
      </c>
      <c r="M270" s="14"/>
      <c r="N270" s="15" t="s">
        <v>398</v>
      </c>
      <c r="O270" s="15" t="s">
        <v>4</v>
      </c>
      <c r="P270" s="16">
        <v>46320</v>
      </c>
    </row>
    <row r="271" spans="1:16" ht="126" customHeight="1">
      <c r="A271" s="14" t="s">
        <v>619</v>
      </c>
      <c r="B271" s="15" t="s">
        <v>24</v>
      </c>
      <c r="C271" s="15" t="s">
        <v>620</v>
      </c>
      <c r="D271" s="15" t="s">
        <v>614</v>
      </c>
      <c r="E271" s="15" t="s">
        <v>396</v>
      </c>
      <c r="F271" s="15" t="s">
        <v>55</v>
      </c>
      <c r="G271" s="15" t="s">
        <v>56</v>
      </c>
      <c r="H271" s="15" t="s">
        <v>620</v>
      </c>
      <c r="I271" s="15" t="s">
        <v>397</v>
      </c>
      <c r="J271" s="14" t="s">
        <v>14</v>
      </c>
      <c r="K271" s="14" t="s">
        <v>14</v>
      </c>
      <c r="L271" s="14" t="s">
        <v>58</v>
      </c>
      <c r="M271" s="14"/>
      <c r="N271" s="15" t="s">
        <v>398</v>
      </c>
      <c r="O271" s="15" t="s">
        <v>4</v>
      </c>
      <c r="P271" s="16">
        <v>46320</v>
      </c>
    </row>
    <row r="272" spans="1:16" ht="126" customHeight="1">
      <c r="A272" s="14" t="s">
        <v>621</v>
      </c>
      <c r="B272" s="15" t="s">
        <v>24</v>
      </c>
      <c r="C272" s="15" t="s">
        <v>622</v>
      </c>
      <c r="D272" s="15" t="s">
        <v>614</v>
      </c>
      <c r="E272" s="15" t="s">
        <v>396</v>
      </c>
      <c r="F272" s="15" t="s">
        <v>55</v>
      </c>
      <c r="G272" s="15" t="s">
        <v>56</v>
      </c>
      <c r="H272" s="15" t="s">
        <v>622</v>
      </c>
      <c r="I272" s="15" t="s">
        <v>397</v>
      </c>
      <c r="J272" s="14" t="s">
        <v>14</v>
      </c>
      <c r="K272" s="14" t="s">
        <v>14</v>
      </c>
      <c r="L272" s="14" t="s">
        <v>58</v>
      </c>
      <c r="M272" s="14"/>
      <c r="N272" s="15" t="s">
        <v>398</v>
      </c>
      <c r="O272" s="15" t="s">
        <v>4</v>
      </c>
      <c r="P272" s="16">
        <v>46320</v>
      </c>
    </row>
    <row r="273" spans="1:16" ht="126" customHeight="1">
      <c r="A273" s="14" t="s">
        <v>623</v>
      </c>
      <c r="B273" s="15" t="s">
        <v>24</v>
      </c>
      <c r="C273" s="15" t="s">
        <v>624</v>
      </c>
      <c r="D273" s="15" t="s">
        <v>614</v>
      </c>
      <c r="E273" s="15" t="s">
        <v>396</v>
      </c>
      <c r="F273" s="15" t="s">
        <v>55</v>
      </c>
      <c r="G273" s="15" t="s">
        <v>56</v>
      </c>
      <c r="H273" s="15" t="s">
        <v>624</v>
      </c>
      <c r="I273" s="15" t="s">
        <v>397</v>
      </c>
      <c r="J273" s="14" t="s">
        <v>14</v>
      </c>
      <c r="K273" s="14" t="s">
        <v>14</v>
      </c>
      <c r="L273" s="14" t="s">
        <v>58</v>
      </c>
      <c r="M273" s="14"/>
      <c r="N273" s="15" t="s">
        <v>398</v>
      </c>
      <c r="O273" s="15" t="s">
        <v>4</v>
      </c>
      <c r="P273" s="16">
        <v>46320</v>
      </c>
    </row>
    <row r="274" spans="1:16" ht="126" customHeight="1">
      <c r="A274" s="14" t="s">
        <v>625</v>
      </c>
      <c r="B274" s="15" t="s">
        <v>24</v>
      </c>
      <c r="C274" s="15" t="s">
        <v>626</v>
      </c>
      <c r="D274" s="15" t="s">
        <v>614</v>
      </c>
      <c r="E274" s="15" t="s">
        <v>396</v>
      </c>
      <c r="F274" s="15" t="s">
        <v>55</v>
      </c>
      <c r="G274" s="15" t="s">
        <v>56</v>
      </c>
      <c r="H274" s="15" t="s">
        <v>626</v>
      </c>
      <c r="I274" s="15" t="s">
        <v>397</v>
      </c>
      <c r="J274" s="14" t="s">
        <v>14</v>
      </c>
      <c r="K274" s="14" t="s">
        <v>14</v>
      </c>
      <c r="L274" s="14" t="s">
        <v>58</v>
      </c>
      <c r="M274" s="14"/>
      <c r="N274" s="15" t="s">
        <v>398</v>
      </c>
      <c r="O274" s="15" t="s">
        <v>4</v>
      </c>
      <c r="P274" s="16">
        <v>46320</v>
      </c>
    </row>
    <row r="275" spans="1:16" ht="126" customHeight="1">
      <c r="A275" s="14" t="s">
        <v>627</v>
      </c>
      <c r="B275" s="15" t="s">
        <v>24</v>
      </c>
      <c r="C275" s="15" t="s">
        <v>628</v>
      </c>
      <c r="D275" s="15" t="s">
        <v>614</v>
      </c>
      <c r="E275" s="15" t="s">
        <v>396</v>
      </c>
      <c r="F275" s="15" t="s">
        <v>55</v>
      </c>
      <c r="G275" s="15" t="s">
        <v>56</v>
      </c>
      <c r="H275" s="15" t="s">
        <v>628</v>
      </c>
      <c r="I275" s="15" t="s">
        <v>397</v>
      </c>
      <c r="J275" s="14" t="s">
        <v>14</v>
      </c>
      <c r="K275" s="14" t="s">
        <v>14</v>
      </c>
      <c r="L275" s="14" t="s">
        <v>58</v>
      </c>
      <c r="M275" s="14"/>
      <c r="N275" s="15" t="s">
        <v>398</v>
      </c>
      <c r="O275" s="15" t="s">
        <v>4</v>
      </c>
      <c r="P275" s="16">
        <v>46320</v>
      </c>
    </row>
    <row r="276" spans="1:16" ht="126" customHeight="1">
      <c r="A276" s="14" t="s">
        <v>629</v>
      </c>
      <c r="B276" s="15" t="s">
        <v>24</v>
      </c>
      <c r="C276" s="15" t="s">
        <v>630</v>
      </c>
      <c r="D276" s="15" t="s">
        <v>614</v>
      </c>
      <c r="E276" s="15" t="s">
        <v>396</v>
      </c>
      <c r="F276" s="15" t="s">
        <v>55</v>
      </c>
      <c r="G276" s="15" t="s">
        <v>56</v>
      </c>
      <c r="H276" s="15" t="s">
        <v>630</v>
      </c>
      <c r="I276" s="15" t="s">
        <v>631</v>
      </c>
      <c r="J276" s="14" t="s">
        <v>14</v>
      </c>
      <c r="K276" s="14" t="s">
        <v>15</v>
      </c>
      <c r="L276" s="14" t="s">
        <v>58</v>
      </c>
      <c r="M276" s="14" t="s">
        <v>632</v>
      </c>
      <c r="N276" s="15" t="s">
        <v>398</v>
      </c>
      <c r="O276" s="15" t="s">
        <v>4</v>
      </c>
      <c r="P276" s="16">
        <v>46320</v>
      </c>
    </row>
    <row r="277" spans="1:16" ht="126" customHeight="1">
      <c r="A277" s="14" t="s">
        <v>633</v>
      </c>
      <c r="B277" s="15" t="s">
        <v>24</v>
      </c>
      <c r="C277" s="15" t="s">
        <v>634</v>
      </c>
      <c r="D277" s="15" t="s">
        <v>635</v>
      </c>
      <c r="E277" s="15" t="s">
        <v>396</v>
      </c>
      <c r="F277" s="15" t="s">
        <v>55</v>
      </c>
      <c r="G277" s="15" t="s">
        <v>56</v>
      </c>
      <c r="H277" s="15" t="s">
        <v>634</v>
      </c>
      <c r="I277" s="15" t="s">
        <v>397</v>
      </c>
      <c r="J277" s="14" t="s">
        <v>14</v>
      </c>
      <c r="K277" s="14" t="s">
        <v>14</v>
      </c>
      <c r="L277" s="14" t="s">
        <v>58</v>
      </c>
      <c r="M277" s="14"/>
      <c r="N277" s="15" t="s">
        <v>398</v>
      </c>
      <c r="O277" s="15" t="s">
        <v>4</v>
      </c>
      <c r="P277" s="16">
        <v>46320</v>
      </c>
    </row>
    <row r="278" spans="1:16" ht="126" customHeight="1">
      <c r="A278" s="14" t="s">
        <v>636</v>
      </c>
      <c r="B278" s="15" t="s">
        <v>24</v>
      </c>
      <c r="C278" s="15" t="s">
        <v>637</v>
      </c>
      <c r="D278" s="15" t="s">
        <v>638</v>
      </c>
      <c r="E278" s="15" t="s">
        <v>396</v>
      </c>
      <c r="F278" s="15" t="s">
        <v>55</v>
      </c>
      <c r="G278" s="15" t="s">
        <v>56</v>
      </c>
      <c r="H278" s="15" t="s">
        <v>637</v>
      </c>
      <c r="I278" s="15" t="s">
        <v>397</v>
      </c>
      <c r="J278" s="14" t="s">
        <v>14</v>
      </c>
      <c r="K278" s="14" t="s">
        <v>14</v>
      </c>
      <c r="L278" s="14" t="s">
        <v>58</v>
      </c>
      <c r="M278" s="14"/>
      <c r="N278" s="15" t="s">
        <v>398</v>
      </c>
      <c r="O278" s="15" t="s">
        <v>4</v>
      </c>
      <c r="P278" s="16">
        <v>46320</v>
      </c>
    </row>
    <row r="279" spans="1:16" ht="126" customHeight="1">
      <c r="A279" s="14" t="s">
        <v>639</v>
      </c>
      <c r="B279" s="15" t="s">
        <v>24</v>
      </c>
      <c r="C279" s="15" t="s">
        <v>640</v>
      </c>
      <c r="D279" s="15" t="s">
        <v>638</v>
      </c>
      <c r="E279" s="15" t="s">
        <v>396</v>
      </c>
      <c r="F279" s="15" t="s">
        <v>55</v>
      </c>
      <c r="G279" s="15" t="s">
        <v>56</v>
      </c>
      <c r="H279" s="15" t="s">
        <v>640</v>
      </c>
      <c r="I279" s="15" t="s">
        <v>397</v>
      </c>
      <c r="J279" s="14" t="s">
        <v>14</v>
      </c>
      <c r="K279" s="14" t="s">
        <v>15</v>
      </c>
      <c r="L279" s="14" t="s">
        <v>58</v>
      </c>
      <c r="M279" s="14" t="s">
        <v>641</v>
      </c>
      <c r="N279" s="15" t="s">
        <v>398</v>
      </c>
      <c r="O279" s="15" t="s">
        <v>4</v>
      </c>
      <c r="P279" s="16">
        <v>46320</v>
      </c>
    </row>
    <row r="280" spans="1:16" ht="126" customHeight="1">
      <c r="A280" s="14" t="s">
        <v>642</v>
      </c>
      <c r="B280" s="15" t="s">
        <v>24</v>
      </c>
      <c r="C280" s="15" t="s">
        <v>643</v>
      </c>
      <c r="D280" s="15" t="s">
        <v>638</v>
      </c>
      <c r="E280" s="15" t="s">
        <v>396</v>
      </c>
      <c r="F280" s="15" t="s">
        <v>55</v>
      </c>
      <c r="G280" s="15" t="s">
        <v>56</v>
      </c>
      <c r="H280" s="15" t="s">
        <v>643</v>
      </c>
      <c r="I280" s="15" t="s">
        <v>397</v>
      </c>
      <c r="J280" s="14" t="s">
        <v>14</v>
      </c>
      <c r="K280" s="14" t="s">
        <v>15</v>
      </c>
      <c r="L280" s="14" t="s">
        <v>58</v>
      </c>
      <c r="M280" s="14" t="s">
        <v>641</v>
      </c>
      <c r="N280" s="15" t="s">
        <v>398</v>
      </c>
      <c r="O280" s="15" t="s">
        <v>4</v>
      </c>
      <c r="P280" s="16">
        <v>46320</v>
      </c>
    </row>
    <row r="281" spans="1:16" ht="126" customHeight="1">
      <c r="A281" s="14" t="s">
        <v>644</v>
      </c>
      <c r="B281" s="15" t="s">
        <v>24</v>
      </c>
      <c r="C281" s="15" t="s">
        <v>645</v>
      </c>
      <c r="D281" s="15" t="s">
        <v>638</v>
      </c>
      <c r="E281" s="15" t="s">
        <v>396</v>
      </c>
      <c r="F281" s="15" t="s">
        <v>55</v>
      </c>
      <c r="G281" s="15" t="s">
        <v>56</v>
      </c>
      <c r="H281" s="15" t="s">
        <v>645</v>
      </c>
      <c r="I281" s="15" t="s">
        <v>397</v>
      </c>
      <c r="J281" s="14" t="s">
        <v>14</v>
      </c>
      <c r="K281" s="14" t="s">
        <v>15</v>
      </c>
      <c r="L281" s="14" t="s">
        <v>58</v>
      </c>
      <c r="M281" s="14" t="s">
        <v>641</v>
      </c>
      <c r="N281" s="15" t="s">
        <v>398</v>
      </c>
      <c r="O281" s="15" t="s">
        <v>4</v>
      </c>
      <c r="P281" s="16">
        <v>46320</v>
      </c>
    </row>
    <row r="282" spans="1:16" ht="126" customHeight="1">
      <c r="A282" s="14" t="s">
        <v>646</v>
      </c>
      <c r="B282" s="15" t="s">
        <v>24</v>
      </c>
      <c r="C282" s="15" t="s">
        <v>647</v>
      </c>
      <c r="D282" s="15" t="s">
        <v>638</v>
      </c>
      <c r="E282" s="15" t="s">
        <v>396</v>
      </c>
      <c r="F282" s="15" t="s">
        <v>55</v>
      </c>
      <c r="G282" s="15" t="s">
        <v>56</v>
      </c>
      <c r="H282" s="15" t="s">
        <v>647</v>
      </c>
      <c r="I282" s="15" t="s">
        <v>397</v>
      </c>
      <c r="J282" s="14" t="s">
        <v>14</v>
      </c>
      <c r="K282" s="14" t="s">
        <v>15</v>
      </c>
      <c r="L282" s="14" t="s">
        <v>58</v>
      </c>
      <c r="M282" s="14" t="s">
        <v>641</v>
      </c>
      <c r="N282" s="15" t="s">
        <v>398</v>
      </c>
      <c r="O282" s="15" t="s">
        <v>4</v>
      </c>
      <c r="P282" s="16">
        <v>46320</v>
      </c>
    </row>
    <row r="283" spans="1:16" ht="126" customHeight="1">
      <c r="A283" s="14" t="s">
        <v>648</v>
      </c>
      <c r="B283" s="15" t="s">
        <v>24</v>
      </c>
      <c r="C283" s="15" t="s">
        <v>649</v>
      </c>
      <c r="D283" s="15" t="s">
        <v>638</v>
      </c>
      <c r="E283" s="15" t="s">
        <v>396</v>
      </c>
      <c r="F283" s="15" t="s">
        <v>55</v>
      </c>
      <c r="G283" s="15" t="s">
        <v>56</v>
      </c>
      <c r="H283" s="15" t="s">
        <v>649</v>
      </c>
      <c r="I283" s="15" t="s">
        <v>397</v>
      </c>
      <c r="J283" s="14" t="s">
        <v>14</v>
      </c>
      <c r="K283" s="14" t="s">
        <v>15</v>
      </c>
      <c r="L283" s="14" t="s">
        <v>58</v>
      </c>
      <c r="M283" s="14" t="s">
        <v>641</v>
      </c>
      <c r="N283" s="15" t="s">
        <v>398</v>
      </c>
      <c r="O283" s="15" t="s">
        <v>4</v>
      </c>
      <c r="P283" s="16">
        <v>46320</v>
      </c>
    </row>
    <row r="284" spans="1:16" ht="126" customHeight="1">
      <c r="A284" s="14" t="s">
        <v>650</v>
      </c>
      <c r="B284" s="15" t="s">
        <v>24</v>
      </c>
      <c r="C284" s="15" t="s">
        <v>651</v>
      </c>
      <c r="D284" s="15" t="s">
        <v>638</v>
      </c>
      <c r="E284" s="15" t="s">
        <v>396</v>
      </c>
      <c r="F284" s="15" t="s">
        <v>55</v>
      </c>
      <c r="G284" s="15" t="s">
        <v>56</v>
      </c>
      <c r="H284" s="15" t="s">
        <v>651</v>
      </c>
      <c r="I284" s="15" t="s">
        <v>397</v>
      </c>
      <c r="J284" s="14" t="s">
        <v>14</v>
      </c>
      <c r="K284" s="14" t="s">
        <v>15</v>
      </c>
      <c r="L284" s="14" t="s">
        <v>58</v>
      </c>
      <c r="M284" s="14" t="s">
        <v>641</v>
      </c>
      <c r="N284" s="15" t="s">
        <v>398</v>
      </c>
      <c r="O284" s="15" t="s">
        <v>4</v>
      </c>
      <c r="P284" s="16">
        <v>46320</v>
      </c>
    </row>
    <row r="285" spans="1:16" ht="126" customHeight="1">
      <c r="A285" s="14" t="s">
        <v>652</v>
      </c>
      <c r="B285" s="15" t="s">
        <v>24</v>
      </c>
      <c r="C285" s="15" t="s">
        <v>653</v>
      </c>
      <c r="D285" s="15" t="s">
        <v>638</v>
      </c>
      <c r="E285" s="15" t="s">
        <v>396</v>
      </c>
      <c r="F285" s="15" t="s">
        <v>55</v>
      </c>
      <c r="G285" s="15" t="s">
        <v>56</v>
      </c>
      <c r="H285" s="15" t="s">
        <v>653</v>
      </c>
      <c r="I285" s="15" t="s">
        <v>397</v>
      </c>
      <c r="J285" s="14" t="s">
        <v>14</v>
      </c>
      <c r="K285" s="14" t="s">
        <v>15</v>
      </c>
      <c r="L285" s="14" t="s">
        <v>58</v>
      </c>
      <c r="M285" s="14" t="s">
        <v>641</v>
      </c>
      <c r="N285" s="15" t="s">
        <v>398</v>
      </c>
      <c r="O285" s="15" t="s">
        <v>4</v>
      </c>
      <c r="P285" s="16">
        <v>46320</v>
      </c>
    </row>
    <row r="286" spans="1:16" ht="126" customHeight="1">
      <c r="A286" s="14" t="s">
        <v>654</v>
      </c>
      <c r="B286" s="15" t="s">
        <v>24</v>
      </c>
      <c r="C286" s="15" t="s">
        <v>655</v>
      </c>
      <c r="D286" s="15" t="s">
        <v>638</v>
      </c>
      <c r="E286" s="15" t="s">
        <v>396</v>
      </c>
      <c r="F286" s="15" t="s">
        <v>55</v>
      </c>
      <c r="G286" s="15" t="s">
        <v>56</v>
      </c>
      <c r="H286" s="15" t="s">
        <v>655</v>
      </c>
      <c r="I286" s="15" t="s">
        <v>397</v>
      </c>
      <c r="J286" s="14" t="s">
        <v>14</v>
      </c>
      <c r="K286" s="14" t="s">
        <v>15</v>
      </c>
      <c r="L286" s="14" t="s">
        <v>58</v>
      </c>
      <c r="M286" s="14" t="s">
        <v>641</v>
      </c>
      <c r="N286" s="15" t="s">
        <v>398</v>
      </c>
      <c r="O286" s="15" t="s">
        <v>4</v>
      </c>
      <c r="P286" s="16">
        <v>46320</v>
      </c>
    </row>
    <row r="287" spans="1:16" ht="126" customHeight="1">
      <c r="A287" s="14" t="s">
        <v>656</v>
      </c>
      <c r="B287" s="15" t="s">
        <v>24</v>
      </c>
      <c r="C287" s="15" t="s">
        <v>657</v>
      </c>
      <c r="D287" s="15" t="s">
        <v>658</v>
      </c>
      <c r="E287" s="15" t="s">
        <v>396</v>
      </c>
      <c r="F287" s="15" t="s">
        <v>55</v>
      </c>
      <c r="G287" s="15" t="s">
        <v>56</v>
      </c>
      <c r="H287" s="15" t="s">
        <v>657</v>
      </c>
      <c r="I287" s="15" t="s">
        <v>397</v>
      </c>
      <c r="J287" s="14" t="s">
        <v>14</v>
      </c>
      <c r="K287" s="14" t="s">
        <v>14</v>
      </c>
      <c r="L287" s="14" t="s">
        <v>58</v>
      </c>
      <c r="M287" s="14"/>
      <c r="N287" s="15" t="s">
        <v>398</v>
      </c>
      <c r="O287" s="15" t="s">
        <v>4</v>
      </c>
      <c r="P287" s="16">
        <v>46320</v>
      </c>
    </row>
    <row r="288" spans="1:16" ht="126" customHeight="1">
      <c r="A288" s="14" t="s">
        <v>659</v>
      </c>
      <c r="B288" s="15" t="s">
        <v>24</v>
      </c>
      <c r="C288" s="15" t="s">
        <v>660</v>
      </c>
      <c r="D288" s="15" t="s">
        <v>658</v>
      </c>
      <c r="E288" s="15" t="s">
        <v>396</v>
      </c>
      <c r="F288" s="15" t="s">
        <v>55</v>
      </c>
      <c r="G288" s="15" t="s">
        <v>56</v>
      </c>
      <c r="H288" s="15" t="s">
        <v>660</v>
      </c>
      <c r="I288" s="15" t="s">
        <v>397</v>
      </c>
      <c r="J288" s="14" t="s">
        <v>14</v>
      </c>
      <c r="K288" s="14" t="s">
        <v>14</v>
      </c>
      <c r="L288" s="14" t="s">
        <v>58</v>
      </c>
      <c r="M288" s="14"/>
      <c r="N288" s="15" t="s">
        <v>398</v>
      </c>
      <c r="O288" s="15" t="s">
        <v>4</v>
      </c>
      <c r="P288" s="16">
        <v>46320</v>
      </c>
    </row>
    <row r="289" spans="1:16" ht="126" customHeight="1">
      <c r="A289" s="14" t="s">
        <v>661</v>
      </c>
      <c r="B289" s="15" t="s">
        <v>24</v>
      </c>
      <c r="C289" s="15" t="s">
        <v>662</v>
      </c>
      <c r="D289" s="15" t="s">
        <v>658</v>
      </c>
      <c r="E289" s="15" t="s">
        <v>396</v>
      </c>
      <c r="F289" s="15" t="s">
        <v>55</v>
      </c>
      <c r="G289" s="15" t="s">
        <v>56</v>
      </c>
      <c r="H289" s="15" t="s">
        <v>662</v>
      </c>
      <c r="I289" s="15" t="s">
        <v>397</v>
      </c>
      <c r="J289" s="14" t="s">
        <v>14</v>
      </c>
      <c r="K289" s="14" t="s">
        <v>14</v>
      </c>
      <c r="L289" s="14" t="s">
        <v>58</v>
      </c>
      <c r="M289" s="14"/>
      <c r="N289" s="15" t="s">
        <v>398</v>
      </c>
      <c r="O289" s="15" t="s">
        <v>4</v>
      </c>
      <c r="P289" s="16">
        <v>46320</v>
      </c>
    </row>
    <row r="290" spans="1:16" ht="126" customHeight="1">
      <c r="A290" s="14" t="s">
        <v>663</v>
      </c>
      <c r="B290" s="15" t="s">
        <v>24</v>
      </c>
      <c r="C290" s="15" t="s">
        <v>664</v>
      </c>
      <c r="D290" s="15" t="s">
        <v>658</v>
      </c>
      <c r="E290" s="15" t="s">
        <v>396</v>
      </c>
      <c r="F290" s="15" t="s">
        <v>55</v>
      </c>
      <c r="G290" s="15" t="s">
        <v>56</v>
      </c>
      <c r="H290" s="15" t="s">
        <v>664</v>
      </c>
      <c r="I290" s="15" t="s">
        <v>397</v>
      </c>
      <c r="J290" s="14" t="s">
        <v>14</v>
      </c>
      <c r="K290" s="14" t="s">
        <v>14</v>
      </c>
      <c r="L290" s="14" t="s">
        <v>58</v>
      </c>
      <c r="M290" s="14"/>
      <c r="N290" s="15" t="s">
        <v>398</v>
      </c>
      <c r="O290" s="15" t="s">
        <v>4</v>
      </c>
      <c r="P290" s="16">
        <v>46320</v>
      </c>
    </row>
    <row r="291" spans="1:16" ht="126" customHeight="1">
      <c r="A291" s="14" t="s">
        <v>665</v>
      </c>
      <c r="B291" s="15" t="s">
        <v>24</v>
      </c>
      <c r="C291" s="15" t="s">
        <v>666</v>
      </c>
      <c r="D291" s="15" t="s">
        <v>658</v>
      </c>
      <c r="E291" s="15" t="s">
        <v>396</v>
      </c>
      <c r="F291" s="15" t="s">
        <v>55</v>
      </c>
      <c r="G291" s="15" t="s">
        <v>56</v>
      </c>
      <c r="H291" s="15" t="s">
        <v>666</v>
      </c>
      <c r="I291" s="15" t="s">
        <v>397</v>
      </c>
      <c r="J291" s="14" t="s">
        <v>14</v>
      </c>
      <c r="K291" s="14" t="s">
        <v>14</v>
      </c>
      <c r="L291" s="14" t="s">
        <v>58</v>
      </c>
      <c r="M291" s="14"/>
      <c r="N291" s="15" t="s">
        <v>398</v>
      </c>
      <c r="O291" s="15" t="s">
        <v>4</v>
      </c>
      <c r="P291" s="16">
        <v>46320</v>
      </c>
    </row>
    <row r="292" spans="1:16" ht="126" customHeight="1">
      <c r="A292" s="14" t="s">
        <v>667</v>
      </c>
      <c r="B292" s="15" t="s">
        <v>24</v>
      </c>
      <c r="C292" s="15" t="s">
        <v>668</v>
      </c>
      <c r="D292" s="15" t="s">
        <v>658</v>
      </c>
      <c r="E292" s="15" t="s">
        <v>396</v>
      </c>
      <c r="F292" s="15" t="s">
        <v>55</v>
      </c>
      <c r="G292" s="15" t="s">
        <v>56</v>
      </c>
      <c r="H292" s="15" t="s">
        <v>668</v>
      </c>
      <c r="I292" s="15" t="s">
        <v>397</v>
      </c>
      <c r="J292" s="14" t="s">
        <v>14</v>
      </c>
      <c r="K292" s="14" t="s">
        <v>14</v>
      </c>
      <c r="L292" s="14" t="s">
        <v>58</v>
      </c>
      <c r="M292" s="14"/>
      <c r="N292" s="15" t="s">
        <v>398</v>
      </c>
      <c r="O292" s="15" t="s">
        <v>4</v>
      </c>
      <c r="P292" s="16">
        <v>46320</v>
      </c>
    </row>
    <row r="293" spans="1:16" ht="126" customHeight="1">
      <c r="A293" s="14" t="s">
        <v>669</v>
      </c>
      <c r="B293" s="15" t="s">
        <v>24</v>
      </c>
      <c r="C293" s="15" t="s">
        <v>670</v>
      </c>
      <c r="D293" s="15" t="s">
        <v>658</v>
      </c>
      <c r="E293" s="15" t="s">
        <v>396</v>
      </c>
      <c r="F293" s="15" t="s">
        <v>55</v>
      </c>
      <c r="G293" s="15" t="s">
        <v>56</v>
      </c>
      <c r="H293" s="15" t="s">
        <v>670</v>
      </c>
      <c r="I293" s="15" t="s">
        <v>397</v>
      </c>
      <c r="J293" s="14" t="s">
        <v>14</v>
      </c>
      <c r="K293" s="14" t="s">
        <v>14</v>
      </c>
      <c r="L293" s="14" t="s">
        <v>58</v>
      </c>
      <c r="M293" s="14"/>
      <c r="N293" s="15" t="s">
        <v>398</v>
      </c>
      <c r="O293" s="15" t="s">
        <v>4</v>
      </c>
      <c r="P293" s="16">
        <v>46320</v>
      </c>
    </row>
    <row r="294" spans="1:16" ht="126" customHeight="1">
      <c r="A294" s="14" t="s">
        <v>671</v>
      </c>
      <c r="B294" s="15" t="s">
        <v>24</v>
      </c>
      <c r="C294" s="15" t="s">
        <v>672</v>
      </c>
      <c r="D294" s="15" t="s">
        <v>658</v>
      </c>
      <c r="E294" s="15" t="s">
        <v>396</v>
      </c>
      <c r="F294" s="15" t="s">
        <v>55</v>
      </c>
      <c r="G294" s="15" t="s">
        <v>56</v>
      </c>
      <c r="H294" s="15" t="s">
        <v>672</v>
      </c>
      <c r="I294" s="15" t="s">
        <v>397</v>
      </c>
      <c r="J294" s="14" t="s">
        <v>14</v>
      </c>
      <c r="K294" s="14" t="s">
        <v>14</v>
      </c>
      <c r="L294" s="14" t="s">
        <v>58</v>
      </c>
      <c r="M294" s="14"/>
      <c r="N294" s="15" t="s">
        <v>398</v>
      </c>
      <c r="O294" s="15" t="s">
        <v>4</v>
      </c>
      <c r="P294" s="16">
        <v>46320</v>
      </c>
    </row>
    <row r="295" spans="1:16" ht="108" customHeight="1">
      <c r="A295" s="14" t="s">
        <v>673</v>
      </c>
      <c r="B295" s="15" t="s">
        <v>21</v>
      </c>
      <c r="C295" s="15" t="s">
        <v>674</v>
      </c>
      <c r="D295" s="15" t="s">
        <v>675</v>
      </c>
      <c r="E295" s="15" t="s">
        <v>676</v>
      </c>
      <c r="F295" s="15" t="s">
        <v>677</v>
      </c>
      <c r="G295" s="15" t="s">
        <v>678</v>
      </c>
      <c r="H295" s="15" t="s">
        <v>679</v>
      </c>
      <c r="I295" s="15" t="s">
        <v>680</v>
      </c>
      <c r="J295" s="14" t="s">
        <v>14</v>
      </c>
      <c r="K295" s="14" t="s">
        <v>14</v>
      </c>
      <c r="L295" s="14" t="s">
        <v>681</v>
      </c>
      <c r="M295" s="14"/>
      <c r="N295" s="15" t="s">
        <v>682</v>
      </c>
      <c r="O295" s="15" t="s">
        <v>4</v>
      </c>
      <c r="P295" s="16">
        <v>46320</v>
      </c>
    </row>
    <row r="296" spans="1:16" ht="108" customHeight="1">
      <c r="A296" s="14" t="s">
        <v>683</v>
      </c>
      <c r="B296" s="15" t="s">
        <v>21</v>
      </c>
      <c r="C296" s="15" t="s">
        <v>684</v>
      </c>
      <c r="D296" s="15" t="s">
        <v>675</v>
      </c>
      <c r="E296" s="15" t="s">
        <v>676</v>
      </c>
      <c r="F296" s="15" t="s">
        <v>677</v>
      </c>
      <c r="G296" s="15" t="s">
        <v>678</v>
      </c>
      <c r="H296" s="15" t="s">
        <v>679</v>
      </c>
      <c r="I296" s="15" t="s">
        <v>685</v>
      </c>
      <c r="J296" s="14" t="s">
        <v>14</v>
      </c>
      <c r="K296" s="14" t="s">
        <v>14</v>
      </c>
      <c r="L296" s="14" t="s">
        <v>681</v>
      </c>
      <c r="M296" s="14"/>
      <c r="N296" s="15" t="s">
        <v>682</v>
      </c>
      <c r="O296" s="15" t="s">
        <v>4</v>
      </c>
      <c r="P296" s="16">
        <v>46320</v>
      </c>
    </row>
    <row r="297" spans="1:16" ht="108" customHeight="1">
      <c r="A297" s="14" t="s">
        <v>686</v>
      </c>
      <c r="B297" s="15" t="s">
        <v>21</v>
      </c>
      <c r="C297" s="15" t="s">
        <v>687</v>
      </c>
      <c r="D297" s="15" t="s">
        <v>675</v>
      </c>
      <c r="E297" s="15" t="s">
        <v>676</v>
      </c>
      <c r="F297" s="15" t="s">
        <v>677</v>
      </c>
      <c r="G297" s="15" t="s">
        <v>678</v>
      </c>
      <c r="H297" s="15" t="s">
        <v>679</v>
      </c>
      <c r="I297" s="15" t="s">
        <v>688</v>
      </c>
      <c r="J297" s="14" t="s">
        <v>14</v>
      </c>
      <c r="K297" s="14" t="s">
        <v>14</v>
      </c>
      <c r="L297" s="14" t="s">
        <v>681</v>
      </c>
      <c r="M297" s="14"/>
      <c r="N297" s="15" t="s">
        <v>682</v>
      </c>
      <c r="O297" s="15" t="s">
        <v>4</v>
      </c>
      <c r="P297" s="16">
        <v>46320</v>
      </c>
    </row>
    <row r="298" spans="1:16" ht="108" customHeight="1">
      <c r="A298" s="14" t="s">
        <v>689</v>
      </c>
      <c r="B298" s="15" t="s">
        <v>21</v>
      </c>
      <c r="C298" s="15" t="s">
        <v>690</v>
      </c>
      <c r="D298" s="15" t="s">
        <v>675</v>
      </c>
      <c r="E298" s="15" t="s">
        <v>676</v>
      </c>
      <c r="F298" s="15" t="s">
        <v>677</v>
      </c>
      <c r="G298" s="15" t="s">
        <v>678</v>
      </c>
      <c r="H298" s="15" t="s">
        <v>679</v>
      </c>
      <c r="I298" s="15" t="s">
        <v>691</v>
      </c>
      <c r="J298" s="14" t="s">
        <v>14</v>
      </c>
      <c r="K298" s="14" t="s">
        <v>14</v>
      </c>
      <c r="L298" s="14" t="s">
        <v>681</v>
      </c>
      <c r="M298" s="14"/>
      <c r="N298" s="15" t="s">
        <v>682</v>
      </c>
      <c r="O298" s="15" t="s">
        <v>4</v>
      </c>
      <c r="P298" s="16">
        <v>46320</v>
      </c>
    </row>
    <row r="299" spans="1:16" ht="108" customHeight="1">
      <c r="A299" s="14" t="s">
        <v>692</v>
      </c>
      <c r="B299" s="15" t="s">
        <v>21</v>
      </c>
      <c r="C299" s="15" t="s">
        <v>693</v>
      </c>
      <c r="D299" s="15" t="s">
        <v>675</v>
      </c>
      <c r="E299" s="15" t="s">
        <v>676</v>
      </c>
      <c r="F299" s="15" t="s">
        <v>677</v>
      </c>
      <c r="G299" s="15" t="s">
        <v>678</v>
      </c>
      <c r="H299" s="15" t="s">
        <v>679</v>
      </c>
      <c r="I299" s="15" t="s">
        <v>694</v>
      </c>
      <c r="J299" s="14" t="s">
        <v>14</v>
      </c>
      <c r="K299" s="14" t="s">
        <v>14</v>
      </c>
      <c r="L299" s="14" t="s">
        <v>681</v>
      </c>
      <c r="M299" s="14"/>
      <c r="N299" s="15" t="s">
        <v>682</v>
      </c>
      <c r="O299" s="15" t="s">
        <v>4</v>
      </c>
      <c r="P299" s="16">
        <v>46320</v>
      </c>
    </row>
    <row r="300" spans="1:16" ht="108" customHeight="1">
      <c r="A300" s="14" t="s">
        <v>695</v>
      </c>
      <c r="B300" s="15" t="s">
        <v>21</v>
      </c>
      <c r="C300" s="15" t="s">
        <v>696</v>
      </c>
      <c r="D300" s="15" t="s">
        <v>675</v>
      </c>
      <c r="E300" s="15" t="s">
        <v>676</v>
      </c>
      <c r="F300" s="15" t="s">
        <v>677</v>
      </c>
      <c r="G300" s="15" t="s">
        <v>678</v>
      </c>
      <c r="H300" s="15" t="s">
        <v>679</v>
      </c>
      <c r="I300" s="15" t="s">
        <v>697</v>
      </c>
      <c r="J300" s="14" t="s">
        <v>14</v>
      </c>
      <c r="K300" s="14" t="s">
        <v>14</v>
      </c>
      <c r="L300" s="14" t="s">
        <v>681</v>
      </c>
      <c r="M300" s="14"/>
      <c r="N300" s="15" t="s">
        <v>682</v>
      </c>
      <c r="O300" s="15" t="s">
        <v>4</v>
      </c>
      <c r="P300" s="16">
        <v>46320</v>
      </c>
    </row>
    <row r="301" spans="1:16" ht="108" customHeight="1">
      <c r="A301" s="14" t="s">
        <v>698</v>
      </c>
      <c r="B301" s="15" t="s">
        <v>21</v>
      </c>
      <c r="C301" s="15" t="s">
        <v>699</v>
      </c>
      <c r="D301" s="15" t="s">
        <v>675</v>
      </c>
      <c r="E301" s="15" t="s">
        <v>676</v>
      </c>
      <c r="F301" s="15" t="s">
        <v>677</v>
      </c>
      <c r="G301" s="15" t="s">
        <v>678</v>
      </c>
      <c r="H301" s="15" t="s">
        <v>679</v>
      </c>
      <c r="I301" s="15" t="s">
        <v>700</v>
      </c>
      <c r="J301" s="14" t="s">
        <v>14</v>
      </c>
      <c r="K301" s="14" t="s">
        <v>14</v>
      </c>
      <c r="L301" s="14" t="s">
        <v>681</v>
      </c>
      <c r="M301" s="14"/>
      <c r="N301" s="15" t="s">
        <v>682</v>
      </c>
      <c r="O301" s="15" t="s">
        <v>4</v>
      </c>
      <c r="P301" s="16">
        <v>46320</v>
      </c>
    </row>
    <row r="302" spans="1:16" ht="108" customHeight="1">
      <c r="A302" s="14" t="s">
        <v>701</v>
      </c>
      <c r="B302" s="15" t="s">
        <v>21</v>
      </c>
      <c r="C302" s="15" t="s">
        <v>702</v>
      </c>
      <c r="D302" s="15" t="s">
        <v>675</v>
      </c>
      <c r="E302" s="15" t="s">
        <v>676</v>
      </c>
      <c r="F302" s="15" t="s">
        <v>677</v>
      </c>
      <c r="G302" s="15" t="s">
        <v>678</v>
      </c>
      <c r="H302" s="15" t="s">
        <v>679</v>
      </c>
      <c r="I302" s="15" t="s">
        <v>703</v>
      </c>
      <c r="J302" s="14" t="s">
        <v>14</v>
      </c>
      <c r="K302" s="14" t="s">
        <v>14</v>
      </c>
      <c r="L302" s="14" t="s">
        <v>681</v>
      </c>
      <c r="M302" s="14"/>
      <c r="N302" s="15" t="s">
        <v>682</v>
      </c>
      <c r="O302" s="15" t="s">
        <v>4</v>
      </c>
      <c r="P302" s="16">
        <v>46320</v>
      </c>
    </row>
    <row r="303" spans="1:16" ht="108" customHeight="1">
      <c r="A303" s="14" t="s">
        <v>704</v>
      </c>
      <c r="B303" s="15" t="s">
        <v>21</v>
      </c>
      <c r="C303" s="15" t="s">
        <v>705</v>
      </c>
      <c r="D303" s="15" t="s">
        <v>675</v>
      </c>
      <c r="E303" s="15" t="s">
        <v>676</v>
      </c>
      <c r="F303" s="15" t="s">
        <v>677</v>
      </c>
      <c r="G303" s="15" t="s">
        <v>678</v>
      </c>
      <c r="H303" s="15" t="s">
        <v>679</v>
      </c>
      <c r="I303" s="15" t="s">
        <v>706</v>
      </c>
      <c r="J303" s="14" t="s">
        <v>14</v>
      </c>
      <c r="K303" s="14" t="s">
        <v>14</v>
      </c>
      <c r="L303" s="14" t="s">
        <v>681</v>
      </c>
      <c r="M303" s="14"/>
      <c r="N303" s="15" t="s">
        <v>682</v>
      </c>
      <c r="O303" s="15" t="s">
        <v>4</v>
      </c>
      <c r="P303" s="16">
        <v>46320</v>
      </c>
    </row>
    <row r="304" spans="1:16" ht="108" customHeight="1">
      <c r="A304" s="14" t="s">
        <v>707</v>
      </c>
      <c r="B304" s="15" t="s">
        <v>21</v>
      </c>
      <c r="C304" s="15" t="s">
        <v>708</v>
      </c>
      <c r="D304" s="15" t="s">
        <v>675</v>
      </c>
      <c r="E304" s="15" t="s">
        <v>676</v>
      </c>
      <c r="F304" s="15" t="s">
        <v>677</v>
      </c>
      <c r="G304" s="15" t="s">
        <v>678</v>
      </c>
      <c r="H304" s="15" t="s">
        <v>679</v>
      </c>
      <c r="I304" s="15" t="s">
        <v>709</v>
      </c>
      <c r="J304" s="14" t="s">
        <v>14</v>
      </c>
      <c r="K304" s="14" t="s">
        <v>14</v>
      </c>
      <c r="L304" s="14" t="s">
        <v>681</v>
      </c>
      <c r="M304" s="14"/>
      <c r="N304" s="15" t="s">
        <v>682</v>
      </c>
      <c r="O304" s="15" t="s">
        <v>4</v>
      </c>
      <c r="P304" s="16">
        <v>46320</v>
      </c>
    </row>
    <row r="305" spans="1:16" ht="108" customHeight="1">
      <c r="A305" s="14" t="s">
        <v>710</v>
      </c>
      <c r="B305" s="15" t="s">
        <v>21</v>
      </c>
      <c r="C305" s="15" t="s">
        <v>711</v>
      </c>
      <c r="D305" s="15" t="s">
        <v>675</v>
      </c>
      <c r="E305" s="15" t="s">
        <v>676</v>
      </c>
      <c r="F305" s="15" t="s">
        <v>677</v>
      </c>
      <c r="G305" s="15" t="s">
        <v>678</v>
      </c>
      <c r="H305" s="15" t="s">
        <v>679</v>
      </c>
      <c r="I305" s="15" t="s">
        <v>712</v>
      </c>
      <c r="J305" s="14" t="s">
        <v>14</v>
      </c>
      <c r="K305" s="14" t="s">
        <v>14</v>
      </c>
      <c r="L305" s="14" t="s">
        <v>681</v>
      </c>
      <c r="M305" s="14"/>
      <c r="N305" s="15" t="s">
        <v>682</v>
      </c>
      <c r="O305" s="15" t="s">
        <v>4</v>
      </c>
      <c r="P305" s="16">
        <v>46320</v>
      </c>
    </row>
    <row r="306" spans="1:16" ht="108" customHeight="1">
      <c r="A306" s="14" t="s">
        <v>713</v>
      </c>
      <c r="B306" s="15" t="s">
        <v>21</v>
      </c>
      <c r="C306" s="15" t="s">
        <v>714</v>
      </c>
      <c r="D306" s="15" t="s">
        <v>675</v>
      </c>
      <c r="E306" s="15" t="s">
        <v>676</v>
      </c>
      <c r="F306" s="15" t="s">
        <v>677</v>
      </c>
      <c r="G306" s="15" t="s">
        <v>678</v>
      </c>
      <c r="H306" s="15" t="s">
        <v>679</v>
      </c>
      <c r="I306" s="15" t="s">
        <v>715</v>
      </c>
      <c r="J306" s="14" t="s">
        <v>14</v>
      </c>
      <c r="K306" s="14" t="s">
        <v>14</v>
      </c>
      <c r="L306" s="14" t="s">
        <v>681</v>
      </c>
      <c r="M306" s="14"/>
      <c r="N306" s="15" t="s">
        <v>682</v>
      </c>
      <c r="O306" s="15" t="s">
        <v>4</v>
      </c>
      <c r="P306" s="16">
        <v>46320</v>
      </c>
    </row>
    <row r="307" spans="1:16" ht="108" customHeight="1">
      <c r="A307" s="14" t="s">
        <v>716</v>
      </c>
      <c r="B307" s="15" t="s">
        <v>21</v>
      </c>
      <c r="C307" s="15" t="s">
        <v>717</v>
      </c>
      <c r="D307" s="15" t="s">
        <v>675</v>
      </c>
      <c r="E307" s="15" t="s">
        <v>676</v>
      </c>
      <c r="F307" s="15" t="s">
        <v>677</v>
      </c>
      <c r="G307" s="15" t="s">
        <v>678</v>
      </c>
      <c r="H307" s="15" t="s">
        <v>679</v>
      </c>
      <c r="I307" s="15" t="s">
        <v>718</v>
      </c>
      <c r="J307" s="14" t="s">
        <v>14</v>
      </c>
      <c r="K307" s="14" t="s">
        <v>14</v>
      </c>
      <c r="L307" s="14" t="s">
        <v>681</v>
      </c>
      <c r="M307" s="14"/>
      <c r="N307" s="15" t="s">
        <v>682</v>
      </c>
      <c r="O307" s="15" t="s">
        <v>4</v>
      </c>
      <c r="P307" s="16">
        <v>46320</v>
      </c>
    </row>
    <row r="308" spans="1:16" ht="108" customHeight="1">
      <c r="A308" s="14" t="s">
        <v>719</v>
      </c>
      <c r="B308" s="15" t="s">
        <v>21</v>
      </c>
      <c r="C308" s="15" t="s">
        <v>720</v>
      </c>
      <c r="D308" s="15" t="s">
        <v>675</v>
      </c>
      <c r="E308" s="15" t="s">
        <v>676</v>
      </c>
      <c r="F308" s="15" t="s">
        <v>677</v>
      </c>
      <c r="G308" s="15" t="s">
        <v>678</v>
      </c>
      <c r="H308" s="15" t="s">
        <v>679</v>
      </c>
      <c r="I308" s="15" t="s">
        <v>721</v>
      </c>
      <c r="J308" s="14" t="s">
        <v>14</v>
      </c>
      <c r="K308" s="14" t="s">
        <v>14</v>
      </c>
      <c r="L308" s="14" t="s">
        <v>681</v>
      </c>
      <c r="M308" s="14"/>
      <c r="N308" s="15" t="s">
        <v>682</v>
      </c>
      <c r="O308" s="15" t="s">
        <v>4</v>
      </c>
      <c r="P308" s="16">
        <v>46320</v>
      </c>
    </row>
    <row r="309" spans="1:16" ht="108" customHeight="1">
      <c r="A309" s="14" t="s">
        <v>722</v>
      </c>
      <c r="B309" s="15" t="s">
        <v>21</v>
      </c>
      <c r="C309" s="15" t="s">
        <v>723</v>
      </c>
      <c r="D309" s="15" t="s">
        <v>675</v>
      </c>
      <c r="E309" s="15" t="s">
        <v>676</v>
      </c>
      <c r="F309" s="15" t="s">
        <v>677</v>
      </c>
      <c r="G309" s="15" t="s">
        <v>678</v>
      </c>
      <c r="H309" s="15" t="s">
        <v>679</v>
      </c>
      <c r="I309" s="15" t="s">
        <v>724</v>
      </c>
      <c r="J309" s="14" t="s">
        <v>14</v>
      </c>
      <c r="K309" s="14" t="s">
        <v>14</v>
      </c>
      <c r="L309" s="14" t="s">
        <v>681</v>
      </c>
      <c r="M309" s="14"/>
      <c r="N309" s="15" t="s">
        <v>682</v>
      </c>
      <c r="O309" s="15" t="s">
        <v>4</v>
      </c>
      <c r="P309" s="16">
        <v>46320</v>
      </c>
    </row>
    <row r="310" spans="1:16" ht="108" customHeight="1">
      <c r="A310" s="14" t="s">
        <v>725</v>
      </c>
      <c r="B310" s="15" t="s">
        <v>21</v>
      </c>
      <c r="C310" s="15" t="s">
        <v>726</v>
      </c>
      <c r="D310" s="15" t="s">
        <v>675</v>
      </c>
      <c r="E310" s="15" t="s">
        <v>676</v>
      </c>
      <c r="F310" s="15" t="s">
        <v>677</v>
      </c>
      <c r="G310" s="15" t="s">
        <v>678</v>
      </c>
      <c r="H310" s="15" t="s">
        <v>679</v>
      </c>
      <c r="I310" s="15" t="s">
        <v>727</v>
      </c>
      <c r="J310" s="14" t="s">
        <v>14</v>
      </c>
      <c r="K310" s="14" t="s">
        <v>14</v>
      </c>
      <c r="L310" s="14" t="s">
        <v>681</v>
      </c>
      <c r="M310" s="14"/>
      <c r="N310" s="15" t="s">
        <v>682</v>
      </c>
      <c r="O310" s="15" t="s">
        <v>4</v>
      </c>
      <c r="P310" s="16">
        <v>46320</v>
      </c>
    </row>
    <row r="311" spans="1:16" ht="108" customHeight="1">
      <c r="A311" s="14" t="s">
        <v>728</v>
      </c>
      <c r="B311" s="15" t="s">
        <v>21</v>
      </c>
      <c r="C311" s="15" t="s">
        <v>729</v>
      </c>
      <c r="D311" s="15" t="s">
        <v>675</v>
      </c>
      <c r="E311" s="15" t="s">
        <v>676</v>
      </c>
      <c r="F311" s="15" t="s">
        <v>677</v>
      </c>
      <c r="G311" s="15" t="s">
        <v>678</v>
      </c>
      <c r="H311" s="15" t="s">
        <v>679</v>
      </c>
      <c r="I311" s="15" t="s">
        <v>730</v>
      </c>
      <c r="J311" s="14" t="s">
        <v>14</v>
      </c>
      <c r="K311" s="14" t="s">
        <v>14</v>
      </c>
      <c r="L311" s="14" t="s">
        <v>681</v>
      </c>
      <c r="M311" s="14"/>
      <c r="N311" s="15" t="s">
        <v>682</v>
      </c>
      <c r="O311" s="15" t="s">
        <v>4</v>
      </c>
      <c r="P311" s="16">
        <v>46320</v>
      </c>
    </row>
    <row r="312" spans="1:16" ht="108" customHeight="1">
      <c r="A312" s="14" t="s">
        <v>731</v>
      </c>
      <c r="B312" s="15" t="s">
        <v>21</v>
      </c>
      <c r="C312" s="15" t="s">
        <v>732</v>
      </c>
      <c r="D312" s="15" t="s">
        <v>675</v>
      </c>
      <c r="E312" s="15" t="s">
        <v>676</v>
      </c>
      <c r="F312" s="15" t="s">
        <v>677</v>
      </c>
      <c r="G312" s="15" t="s">
        <v>678</v>
      </c>
      <c r="H312" s="15" t="s">
        <v>679</v>
      </c>
      <c r="I312" s="15" t="s">
        <v>733</v>
      </c>
      <c r="J312" s="14" t="s">
        <v>14</v>
      </c>
      <c r="K312" s="14" t="s">
        <v>14</v>
      </c>
      <c r="L312" s="14" t="s">
        <v>681</v>
      </c>
      <c r="M312" s="14"/>
      <c r="N312" s="15" t="s">
        <v>682</v>
      </c>
      <c r="O312" s="15" t="s">
        <v>4</v>
      </c>
      <c r="P312" s="16">
        <v>46320</v>
      </c>
    </row>
    <row r="313" spans="1:16" ht="108" customHeight="1">
      <c r="A313" s="14" t="s">
        <v>734</v>
      </c>
      <c r="B313" s="15" t="s">
        <v>21</v>
      </c>
      <c r="C313" s="15" t="s">
        <v>735</v>
      </c>
      <c r="D313" s="15" t="s">
        <v>675</v>
      </c>
      <c r="E313" s="15" t="s">
        <v>676</v>
      </c>
      <c r="F313" s="15" t="s">
        <v>677</v>
      </c>
      <c r="G313" s="15" t="s">
        <v>678</v>
      </c>
      <c r="H313" s="15" t="s">
        <v>679</v>
      </c>
      <c r="I313" s="15" t="s">
        <v>736</v>
      </c>
      <c r="J313" s="14" t="s">
        <v>14</v>
      </c>
      <c r="K313" s="14" t="s">
        <v>14</v>
      </c>
      <c r="L313" s="14" t="s">
        <v>681</v>
      </c>
      <c r="M313" s="14"/>
      <c r="N313" s="15" t="s">
        <v>682</v>
      </c>
      <c r="O313" s="15" t="s">
        <v>4</v>
      </c>
      <c r="P313" s="16">
        <v>46320</v>
      </c>
    </row>
    <row r="314" spans="1:16" ht="108" customHeight="1">
      <c r="A314" s="14" t="s">
        <v>737</v>
      </c>
      <c r="B314" s="15" t="s">
        <v>21</v>
      </c>
      <c r="C314" s="15" t="s">
        <v>738</v>
      </c>
      <c r="D314" s="15" t="s">
        <v>675</v>
      </c>
      <c r="E314" s="15" t="s">
        <v>676</v>
      </c>
      <c r="F314" s="15" t="s">
        <v>677</v>
      </c>
      <c r="G314" s="15" t="s">
        <v>678</v>
      </c>
      <c r="H314" s="15" t="s">
        <v>679</v>
      </c>
      <c r="I314" s="15" t="s">
        <v>739</v>
      </c>
      <c r="J314" s="14" t="s">
        <v>14</v>
      </c>
      <c r="K314" s="14" t="s">
        <v>14</v>
      </c>
      <c r="L314" s="14" t="s">
        <v>681</v>
      </c>
      <c r="M314" s="14"/>
      <c r="N314" s="15" t="s">
        <v>682</v>
      </c>
      <c r="O314" s="15" t="s">
        <v>4</v>
      </c>
      <c r="P314" s="16">
        <v>46320</v>
      </c>
    </row>
    <row r="315" spans="1:16" ht="108" customHeight="1">
      <c r="A315" s="14" t="s">
        <v>740</v>
      </c>
      <c r="B315" s="15" t="s">
        <v>21</v>
      </c>
      <c r="C315" s="15" t="s">
        <v>741</v>
      </c>
      <c r="D315" s="15" t="s">
        <v>675</v>
      </c>
      <c r="E315" s="15" t="s">
        <v>676</v>
      </c>
      <c r="F315" s="15" t="s">
        <v>677</v>
      </c>
      <c r="G315" s="15" t="s">
        <v>678</v>
      </c>
      <c r="H315" s="15" t="s">
        <v>679</v>
      </c>
      <c r="I315" s="15" t="s">
        <v>742</v>
      </c>
      <c r="J315" s="14" t="s">
        <v>14</v>
      </c>
      <c r="K315" s="14" t="s">
        <v>14</v>
      </c>
      <c r="L315" s="14" t="s">
        <v>681</v>
      </c>
      <c r="M315" s="14"/>
      <c r="N315" s="15" t="s">
        <v>682</v>
      </c>
      <c r="O315" s="15" t="s">
        <v>4</v>
      </c>
      <c r="P315" s="16">
        <v>46320</v>
      </c>
    </row>
    <row r="316" spans="1:16" ht="108" customHeight="1">
      <c r="A316" s="14" t="s">
        <v>743</v>
      </c>
      <c r="B316" s="15" t="s">
        <v>21</v>
      </c>
      <c r="C316" s="15" t="s">
        <v>744</v>
      </c>
      <c r="D316" s="15" t="s">
        <v>675</v>
      </c>
      <c r="E316" s="15" t="s">
        <v>676</v>
      </c>
      <c r="F316" s="15" t="s">
        <v>677</v>
      </c>
      <c r="G316" s="15" t="s">
        <v>678</v>
      </c>
      <c r="H316" s="15" t="s">
        <v>679</v>
      </c>
      <c r="I316" s="15" t="s">
        <v>745</v>
      </c>
      <c r="J316" s="14" t="s">
        <v>14</v>
      </c>
      <c r="K316" s="14" t="s">
        <v>14</v>
      </c>
      <c r="L316" s="14" t="s">
        <v>681</v>
      </c>
      <c r="M316" s="14"/>
      <c r="N316" s="15" t="s">
        <v>682</v>
      </c>
      <c r="O316" s="15" t="s">
        <v>4</v>
      </c>
      <c r="P316" s="16">
        <v>46320</v>
      </c>
    </row>
    <row r="317" spans="1:16" ht="108" customHeight="1">
      <c r="A317" s="14" t="s">
        <v>746</v>
      </c>
      <c r="B317" s="15" t="s">
        <v>21</v>
      </c>
      <c r="C317" s="15" t="s">
        <v>747</v>
      </c>
      <c r="D317" s="15" t="s">
        <v>675</v>
      </c>
      <c r="E317" s="15" t="s">
        <v>676</v>
      </c>
      <c r="F317" s="15" t="s">
        <v>677</v>
      </c>
      <c r="G317" s="15" t="s">
        <v>678</v>
      </c>
      <c r="H317" s="15" t="s">
        <v>679</v>
      </c>
      <c r="I317" s="15" t="s">
        <v>748</v>
      </c>
      <c r="J317" s="14" t="s">
        <v>14</v>
      </c>
      <c r="K317" s="14" t="s">
        <v>14</v>
      </c>
      <c r="L317" s="14" t="s">
        <v>681</v>
      </c>
      <c r="M317" s="14"/>
      <c r="N317" s="15" t="s">
        <v>682</v>
      </c>
      <c r="O317" s="15" t="s">
        <v>4</v>
      </c>
      <c r="P317" s="16">
        <v>46320</v>
      </c>
    </row>
    <row r="318" spans="1:16" ht="108" customHeight="1">
      <c r="A318" s="14" t="s">
        <v>749</v>
      </c>
      <c r="B318" s="15" t="s">
        <v>21</v>
      </c>
      <c r="C318" s="15" t="s">
        <v>750</v>
      </c>
      <c r="D318" s="15" t="s">
        <v>675</v>
      </c>
      <c r="E318" s="15" t="s">
        <v>676</v>
      </c>
      <c r="F318" s="15" t="s">
        <v>677</v>
      </c>
      <c r="G318" s="15" t="s">
        <v>678</v>
      </c>
      <c r="H318" s="15" t="s">
        <v>679</v>
      </c>
      <c r="I318" s="15" t="s">
        <v>751</v>
      </c>
      <c r="J318" s="14" t="s">
        <v>14</v>
      </c>
      <c r="K318" s="14" t="s">
        <v>14</v>
      </c>
      <c r="L318" s="14" t="s">
        <v>681</v>
      </c>
      <c r="M318" s="14"/>
      <c r="N318" s="15" t="s">
        <v>682</v>
      </c>
      <c r="O318" s="15" t="s">
        <v>4</v>
      </c>
      <c r="P318" s="16">
        <v>46320</v>
      </c>
    </row>
    <row r="319" spans="1:16" ht="108" customHeight="1">
      <c r="A319" s="14" t="s">
        <v>752</v>
      </c>
      <c r="B319" s="15" t="s">
        <v>21</v>
      </c>
      <c r="C319" s="15" t="s">
        <v>753</v>
      </c>
      <c r="D319" s="15" t="s">
        <v>675</v>
      </c>
      <c r="E319" s="15" t="s">
        <v>676</v>
      </c>
      <c r="F319" s="15" t="s">
        <v>677</v>
      </c>
      <c r="G319" s="15" t="s">
        <v>678</v>
      </c>
      <c r="H319" s="15" t="s">
        <v>679</v>
      </c>
      <c r="I319" s="15" t="s">
        <v>754</v>
      </c>
      <c r="J319" s="14" t="s">
        <v>14</v>
      </c>
      <c r="K319" s="14" t="s">
        <v>14</v>
      </c>
      <c r="L319" s="14" t="s">
        <v>681</v>
      </c>
      <c r="M319" s="14"/>
      <c r="N319" s="15" t="s">
        <v>682</v>
      </c>
      <c r="O319" s="15" t="s">
        <v>4</v>
      </c>
      <c r="P319" s="16">
        <v>46320</v>
      </c>
    </row>
    <row r="320" spans="1:16" ht="108" customHeight="1">
      <c r="A320" s="14" t="s">
        <v>755</v>
      </c>
      <c r="B320" s="15" t="s">
        <v>21</v>
      </c>
      <c r="C320" s="15" t="s">
        <v>756</v>
      </c>
      <c r="D320" s="15" t="s">
        <v>675</v>
      </c>
      <c r="E320" s="15" t="s">
        <v>676</v>
      </c>
      <c r="F320" s="15" t="s">
        <v>677</v>
      </c>
      <c r="G320" s="15" t="s">
        <v>678</v>
      </c>
      <c r="H320" s="15" t="s">
        <v>679</v>
      </c>
      <c r="I320" s="15" t="s">
        <v>757</v>
      </c>
      <c r="J320" s="14" t="s">
        <v>14</v>
      </c>
      <c r="K320" s="14" t="s">
        <v>14</v>
      </c>
      <c r="L320" s="14" t="s">
        <v>681</v>
      </c>
      <c r="M320" s="14"/>
      <c r="N320" s="15" t="s">
        <v>682</v>
      </c>
      <c r="O320" s="15" t="s">
        <v>4</v>
      </c>
      <c r="P320" s="16">
        <v>46320</v>
      </c>
    </row>
    <row r="321" spans="1:16" ht="108" customHeight="1">
      <c r="A321" s="14" t="s">
        <v>758</v>
      </c>
      <c r="B321" s="15" t="s">
        <v>21</v>
      </c>
      <c r="C321" s="15" t="s">
        <v>759</v>
      </c>
      <c r="D321" s="15" t="s">
        <v>675</v>
      </c>
      <c r="E321" s="15" t="s">
        <v>676</v>
      </c>
      <c r="F321" s="15" t="s">
        <v>677</v>
      </c>
      <c r="G321" s="15" t="s">
        <v>678</v>
      </c>
      <c r="H321" s="15" t="s">
        <v>679</v>
      </c>
      <c r="I321" s="15" t="s">
        <v>760</v>
      </c>
      <c r="J321" s="14" t="s">
        <v>14</v>
      </c>
      <c r="K321" s="14" t="s">
        <v>14</v>
      </c>
      <c r="L321" s="14" t="s">
        <v>681</v>
      </c>
      <c r="M321" s="14"/>
      <c r="N321" s="15" t="s">
        <v>682</v>
      </c>
      <c r="O321" s="15" t="s">
        <v>4</v>
      </c>
      <c r="P321" s="16">
        <v>46320</v>
      </c>
    </row>
    <row r="322" spans="1:16" ht="108" customHeight="1">
      <c r="A322" s="14" t="s">
        <v>761</v>
      </c>
      <c r="B322" s="15" t="s">
        <v>21</v>
      </c>
      <c r="C322" s="15" t="s">
        <v>762</v>
      </c>
      <c r="D322" s="15" t="s">
        <v>675</v>
      </c>
      <c r="E322" s="15" t="s">
        <v>676</v>
      </c>
      <c r="F322" s="15" t="s">
        <v>677</v>
      </c>
      <c r="G322" s="15" t="s">
        <v>678</v>
      </c>
      <c r="H322" s="15" t="s">
        <v>679</v>
      </c>
      <c r="I322" s="15" t="s">
        <v>763</v>
      </c>
      <c r="J322" s="14" t="s">
        <v>14</v>
      </c>
      <c r="K322" s="14" t="s">
        <v>14</v>
      </c>
      <c r="L322" s="14" t="s">
        <v>681</v>
      </c>
      <c r="M322" s="14"/>
      <c r="N322" s="15" t="s">
        <v>682</v>
      </c>
      <c r="O322" s="15" t="s">
        <v>4</v>
      </c>
      <c r="P322" s="16">
        <v>46320</v>
      </c>
    </row>
    <row r="323" spans="1:16" ht="108" customHeight="1">
      <c r="A323" s="14" t="s">
        <v>764</v>
      </c>
      <c r="B323" s="15" t="s">
        <v>21</v>
      </c>
      <c r="C323" s="15" t="s">
        <v>765</v>
      </c>
      <c r="D323" s="15" t="s">
        <v>675</v>
      </c>
      <c r="E323" s="15" t="s">
        <v>676</v>
      </c>
      <c r="F323" s="15" t="s">
        <v>677</v>
      </c>
      <c r="G323" s="15" t="s">
        <v>678</v>
      </c>
      <c r="H323" s="15" t="s">
        <v>679</v>
      </c>
      <c r="I323" s="15" t="s">
        <v>766</v>
      </c>
      <c r="J323" s="14" t="s">
        <v>14</v>
      </c>
      <c r="K323" s="14" t="s">
        <v>14</v>
      </c>
      <c r="L323" s="14" t="s">
        <v>681</v>
      </c>
      <c r="M323" s="14"/>
      <c r="N323" s="15" t="s">
        <v>682</v>
      </c>
      <c r="O323" s="15" t="s">
        <v>4</v>
      </c>
      <c r="P323" s="16">
        <v>46320</v>
      </c>
    </row>
    <row r="324" spans="1:16" ht="108" customHeight="1">
      <c r="A324" s="14" t="s">
        <v>767</v>
      </c>
      <c r="B324" s="15" t="s">
        <v>21</v>
      </c>
      <c r="C324" s="15" t="s">
        <v>768</v>
      </c>
      <c r="D324" s="15" t="s">
        <v>675</v>
      </c>
      <c r="E324" s="15" t="s">
        <v>676</v>
      </c>
      <c r="F324" s="15" t="s">
        <v>677</v>
      </c>
      <c r="G324" s="15" t="s">
        <v>678</v>
      </c>
      <c r="H324" s="15" t="s">
        <v>679</v>
      </c>
      <c r="I324" s="15" t="s">
        <v>769</v>
      </c>
      <c r="J324" s="14" t="s">
        <v>14</v>
      </c>
      <c r="K324" s="14" t="s">
        <v>14</v>
      </c>
      <c r="L324" s="14" t="s">
        <v>681</v>
      </c>
      <c r="M324" s="14"/>
      <c r="N324" s="15" t="s">
        <v>682</v>
      </c>
      <c r="O324" s="15" t="s">
        <v>4</v>
      </c>
      <c r="P324" s="16">
        <v>46320</v>
      </c>
    </row>
    <row r="325" spans="1:16" ht="108" customHeight="1">
      <c r="A325" s="14" t="s">
        <v>770</v>
      </c>
      <c r="B325" s="15" t="s">
        <v>21</v>
      </c>
      <c r="C325" s="15" t="s">
        <v>771</v>
      </c>
      <c r="D325" s="15" t="s">
        <v>675</v>
      </c>
      <c r="E325" s="15" t="s">
        <v>676</v>
      </c>
      <c r="F325" s="15" t="s">
        <v>677</v>
      </c>
      <c r="G325" s="15" t="s">
        <v>678</v>
      </c>
      <c r="H325" s="15" t="s">
        <v>679</v>
      </c>
      <c r="I325" s="15" t="s">
        <v>772</v>
      </c>
      <c r="J325" s="14" t="s">
        <v>14</v>
      </c>
      <c r="K325" s="14" t="s">
        <v>14</v>
      </c>
      <c r="L325" s="14" t="s">
        <v>681</v>
      </c>
      <c r="M325" s="14"/>
      <c r="N325" s="15" t="s">
        <v>682</v>
      </c>
      <c r="O325" s="15" t="s">
        <v>4</v>
      </c>
      <c r="P325" s="16">
        <v>46320</v>
      </c>
    </row>
    <row r="326" spans="1:16" ht="108" customHeight="1">
      <c r="A326" s="14" t="s">
        <v>773</v>
      </c>
      <c r="B326" s="15" t="s">
        <v>21</v>
      </c>
      <c r="C326" s="15" t="s">
        <v>774</v>
      </c>
      <c r="D326" s="15" t="s">
        <v>675</v>
      </c>
      <c r="E326" s="15" t="s">
        <v>676</v>
      </c>
      <c r="F326" s="15" t="s">
        <v>677</v>
      </c>
      <c r="G326" s="15" t="s">
        <v>678</v>
      </c>
      <c r="H326" s="15" t="s">
        <v>679</v>
      </c>
      <c r="I326" s="15" t="s">
        <v>775</v>
      </c>
      <c r="J326" s="14" t="s">
        <v>14</v>
      </c>
      <c r="K326" s="14" t="s">
        <v>14</v>
      </c>
      <c r="L326" s="14" t="s">
        <v>681</v>
      </c>
      <c r="M326" s="14"/>
      <c r="N326" s="15" t="s">
        <v>682</v>
      </c>
      <c r="O326" s="15" t="s">
        <v>4</v>
      </c>
      <c r="P326" s="16">
        <v>46320</v>
      </c>
    </row>
    <row r="327" spans="1:16" ht="108" customHeight="1">
      <c r="A327" s="14" t="s">
        <v>776</v>
      </c>
      <c r="B327" s="15" t="s">
        <v>21</v>
      </c>
      <c r="C327" s="15" t="s">
        <v>777</v>
      </c>
      <c r="D327" s="15" t="s">
        <v>675</v>
      </c>
      <c r="E327" s="15" t="s">
        <v>676</v>
      </c>
      <c r="F327" s="15" t="s">
        <v>677</v>
      </c>
      <c r="G327" s="15" t="s">
        <v>678</v>
      </c>
      <c r="H327" s="15" t="s">
        <v>679</v>
      </c>
      <c r="I327" s="15" t="s">
        <v>778</v>
      </c>
      <c r="J327" s="14" t="s">
        <v>14</v>
      </c>
      <c r="K327" s="14" t="s">
        <v>14</v>
      </c>
      <c r="L327" s="14" t="s">
        <v>681</v>
      </c>
      <c r="M327" s="14"/>
      <c r="N327" s="15" t="s">
        <v>682</v>
      </c>
      <c r="O327" s="15" t="s">
        <v>4</v>
      </c>
      <c r="P327" s="16">
        <v>46320</v>
      </c>
    </row>
    <row r="328" spans="1:16" ht="108" customHeight="1">
      <c r="A328" s="14" t="s">
        <v>779</v>
      </c>
      <c r="B328" s="15" t="s">
        <v>21</v>
      </c>
      <c r="C328" s="15" t="s">
        <v>780</v>
      </c>
      <c r="D328" s="15" t="s">
        <v>675</v>
      </c>
      <c r="E328" s="15" t="s">
        <v>676</v>
      </c>
      <c r="F328" s="15" t="s">
        <v>677</v>
      </c>
      <c r="G328" s="15" t="s">
        <v>678</v>
      </c>
      <c r="H328" s="15" t="s">
        <v>679</v>
      </c>
      <c r="I328" s="15" t="s">
        <v>781</v>
      </c>
      <c r="J328" s="14" t="s">
        <v>14</v>
      </c>
      <c r="K328" s="14" t="s">
        <v>14</v>
      </c>
      <c r="L328" s="14" t="s">
        <v>681</v>
      </c>
      <c r="M328" s="14"/>
      <c r="N328" s="15" t="s">
        <v>682</v>
      </c>
      <c r="O328" s="15" t="s">
        <v>4</v>
      </c>
      <c r="P328" s="16">
        <v>46320</v>
      </c>
    </row>
    <row r="329" spans="1:16" ht="108" customHeight="1">
      <c r="A329" s="14" t="s">
        <v>782</v>
      </c>
      <c r="B329" s="15" t="s">
        <v>21</v>
      </c>
      <c r="C329" s="15" t="s">
        <v>783</v>
      </c>
      <c r="D329" s="15" t="s">
        <v>675</v>
      </c>
      <c r="E329" s="15" t="s">
        <v>676</v>
      </c>
      <c r="F329" s="15" t="s">
        <v>677</v>
      </c>
      <c r="G329" s="15" t="s">
        <v>678</v>
      </c>
      <c r="H329" s="15" t="s">
        <v>679</v>
      </c>
      <c r="I329" s="15" t="s">
        <v>784</v>
      </c>
      <c r="J329" s="14" t="s">
        <v>14</v>
      </c>
      <c r="K329" s="14" t="s">
        <v>14</v>
      </c>
      <c r="L329" s="14" t="s">
        <v>681</v>
      </c>
      <c r="M329" s="14"/>
      <c r="N329" s="15" t="s">
        <v>682</v>
      </c>
      <c r="O329" s="15" t="s">
        <v>4</v>
      </c>
      <c r="P329" s="16">
        <v>46320</v>
      </c>
    </row>
    <row r="330" spans="1:16" ht="108" customHeight="1">
      <c r="A330" s="14" t="s">
        <v>785</v>
      </c>
      <c r="B330" s="15" t="s">
        <v>21</v>
      </c>
      <c r="C330" s="15" t="s">
        <v>786</v>
      </c>
      <c r="D330" s="15" t="s">
        <v>675</v>
      </c>
      <c r="E330" s="15" t="s">
        <v>676</v>
      </c>
      <c r="F330" s="15" t="s">
        <v>677</v>
      </c>
      <c r="G330" s="15" t="s">
        <v>678</v>
      </c>
      <c r="H330" s="15" t="s">
        <v>679</v>
      </c>
      <c r="I330" s="15" t="s">
        <v>787</v>
      </c>
      <c r="J330" s="14" t="s">
        <v>14</v>
      </c>
      <c r="K330" s="14" t="s">
        <v>14</v>
      </c>
      <c r="L330" s="14" t="s">
        <v>681</v>
      </c>
      <c r="M330" s="14"/>
      <c r="N330" s="15" t="s">
        <v>682</v>
      </c>
      <c r="O330" s="15" t="s">
        <v>4</v>
      </c>
      <c r="P330" s="16">
        <v>46320</v>
      </c>
    </row>
    <row r="331" spans="1:16" ht="108" customHeight="1">
      <c r="A331" s="14" t="s">
        <v>788</v>
      </c>
      <c r="B331" s="15" t="s">
        <v>21</v>
      </c>
      <c r="C331" s="15" t="s">
        <v>789</v>
      </c>
      <c r="D331" s="15" t="s">
        <v>675</v>
      </c>
      <c r="E331" s="15" t="s">
        <v>676</v>
      </c>
      <c r="F331" s="15" t="s">
        <v>677</v>
      </c>
      <c r="G331" s="15" t="s">
        <v>678</v>
      </c>
      <c r="H331" s="15" t="s">
        <v>679</v>
      </c>
      <c r="I331" s="15" t="s">
        <v>790</v>
      </c>
      <c r="J331" s="14" t="s">
        <v>14</v>
      </c>
      <c r="K331" s="14" t="s">
        <v>14</v>
      </c>
      <c r="L331" s="14" t="s">
        <v>681</v>
      </c>
      <c r="M331" s="14"/>
      <c r="N331" s="15" t="s">
        <v>682</v>
      </c>
      <c r="O331" s="15" t="s">
        <v>4</v>
      </c>
      <c r="P331" s="16">
        <v>46320</v>
      </c>
    </row>
    <row r="332" spans="1:16" ht="108" customHeight="1">
      <c r="A332" s="14" t="s">
        <v>791</v>
      </c>
      <c r="B332" s="15" t="s">
        <v>21</v>
      </c>
      <c r="C332" s="15" t="s">
        <v>792</v>
      </c>
      <c r="D332" s="15" t="s">
        <v>675</v>
      </c>
      <c r="E332" s="15" t="s">
        <v>676</v>
      </c>
      <c r="F332" s="15" t="s">
        <v>677</v>
      </c>
      <c r="G332" s="15" t="s">
        <v>678</v>
      </c>
      <c r="H332" s="15" t="s">
        <v>679</v>
      </c>
      <c r="I332" s="15" t="s">
        <v>793</v>
      </c>
      <c r="J332" s="14" t="s">
        <v>14</v>
      </c>
      <c r="K332" s="14" t="s">
        <v>14</v>
      </c>
      <c r="L332" s="14" t="s">
        <v>681</v>
      </c>
      <c r="M332" s="14"/>
      <c r="N332" s="15" t="s">
        <v>682</v>
      </c>
      <c r="O332" s="15" t="s">
        <v>4</v>
      </c>
      <c r="P332" s="16">
        <v>46320</v>
      </c>
    </row>
    <row r="333" spans="1:16" ht="108" customHeight="1">
      <c r="A333" s="14" t="s">
        <v>794</v>
      </c>
      <c r="B333" s="15" t="s">
        <v>21</v>
      </c>
      <c r="C333" s="15" t="s">
        <v>795</v>
      </c>
      <c r="D333" s="15" t="s">
        <v>675</v>
      </c>
      <c r="E333" s="15" t="s">
        <v>676</v>
      </c>
      <c r="F333" s="15" t="s">
        <v>677</v>
      </c>
      <c r="G333" s="15" t="s">
        <v>678</v>
      </c>
      <c r="H333" s="15" t="s">
        <v>679</v>
      </c>
      <c r="I333" s="15" t="s">
        <v>796</v>
      </c>
      <c r="J333" s="14" t="s">
        <v>14</v>
      </c>
      <c r="K333" s="14" t="s">
        <v>14</v>
      </c>
      <c r="L333" s="14" t="s">
        <v>681</v>
      </c>
      <c r="M333" s="14"/>
      <c r="N333" s="15" t="s">
        <v>682</v>
      </c>
      <c r="O333" s="15" t="s">
        <v>4</v>
      </c>
      <c r="P333" s="16">
        <v>46320</v>
      </c>
    </row>
    <row r="334" spans="1:16" ht="108" customHeight="1">
      <c r="A334" s="14" t="s">
        <v>797</v>
      </c>
      <c r="B334" s="15" t="s">
        <v>21</v>
      </c>
      <c r="C334" s="15" t="s">
        <v>798</v>
      </c>
      <c r="D334" s="15" t="s">
        <v>675</v>
      </c>
      <c r="E334" s="15" t="s">
        <v>676</v>
      </c>
      <c r="F334" s="15" t="s">
        <v>677</v>
      </c>
      <c r="G334" s="15" t="s">
        <v>678</v>
      </c>
      <c r="H334" s="15" t="s">
        <v>679</v>
      </c>
      <c r="I334" s="15" t="s">
        <v>799</v>
      </c>
      <c r="J334" s="14" t="s">
        <v>14</v>
      </c>
      <c r="K334" s="14" t="s">
        <v>14</v>
      </c>
      <c r="L334" s="14" t="s">
        <v>681</v>
      </c>
      <c r="M334" s="14"/>
      <c r="N334" s="15" t="s">
        <v>682</v>
      </c>
      <c r="O334" s="15" t="s">
        <v>4</v>
      </c>
      <c r="P334" s="16">
        <v>46320</v>
      </c>
    </row>
    <row r="335" spans="1:16" ht="108" customHeight="1">
      <c r="A335" s="14" t="s">
        <v>800</v>
      </c>
      <c r="B335" s="15" t="s">
        <v>21</v>
      </c>
      <c r="C335" s="15" t="s">
        <v>801</v>
      </c>
      <c r="D335" s="15" t="s">
        <v>675</v>
      </c>
      <c r="E335" s="15" t="s">
        <v>676</v>
      </c>
      <c r="F335" s="15" t="s">
        <v>677</v>
      </c>
      <c r="G335" s="15" t="s">
        <v>678</v>
      </c>
      <c r="H335" s="15" t="s">
        <v>679</v>
      </c>
      <c r="I335" s="15" t="s">
        <v>802</v>
      </c>
      <c r="J335" s="14" t="s">
        <v>14</v>
      </c>
      <c r="K335" s="14" t="s">
        <v>14</v>
      </c>
      <c r="L335" s="14" t="s">
        <v>681</v>
      </c>
      <c r="M335" s="14"/>
      <c r="N335" s="15" t="s">
        <v>682</v>
      </c>
      <c r="O335" s="15" t="s">
        <v>4</v>
      </c>
      <c r="P335" s="16">
        <v>46320</v>
      </c>
    </row>
    <row r="336" spans="1:16" ht="108" customHeight="1">
      <c r="A336" s="14" t="s">
        <v>803</v>
      </c>
      <c r="B336" s="15" t="s">
        <v>21</v>
      </c>
      <c r="C336" s="15" t="s">
        <v>804</v>
      </c>
      <c r="D336" s="15" t="s">
        <v>675</v>
      </c>
      <c r="E336" s="15" t="s">
        <v>676</v>
      </c>
      <c r="F336" s="15" t="s">
        <v>677</v>
      </c>
      <c r="G336" s="15" t="s">
        <v>678</v>
      </c>
      <c r="H336" s="15" t="s">
        <v>679</v>
      </c>
      <c r="I336" s="15" t="s">
        <v>805</v>
      </c>
      <c r="J336" s="14" t="s">
        <v>14</v>
      </c>
      <c r="K336" s="14" t="s">
        <v>14</v>
      </c>
      <c r="L336" s="14" t="s">
        <v>681</v>
      </c>
      <c r="M336" s="14"/>
      <c r="N336" s="15" t="s">
        <v>682</v>
      </c>
      <c r="O336" s="15" t="s">
        <v>4</v>
      </c>
      <c r="P336" s="16">
        <v>46320</v>
      </c>
    </row>
    <row r="337" spans="1:16" ht="108" customHeight="1">
      <c r="A337" s="14" t="s">
        <v>806</v>
      </c>
      <c r="B337" s="15" t="s">
        <v>21</v>
      </c>
      <c r="C337" s="15" t="s">
        <v>807</v>
      </c>
      <c r="D337" s="15" t="s">
        <v>675</v>
      </c>
      <c r="E337" s="15" t="s">
        <v>676</v>
      </c>
      <c r="F337" s="15" t="s">
        <v>677</v>
      </c>
      <c r="G337" s="15" t="s">
        <v>678</v>
      </c>
      <c r="H337" s="15" t="s">
        <v>679</v>
      </c>
      <c r="I337" s="15" t="s">
        <v>808</v>
      </c>
      <c r="J337" s="14" t="s">
        <v>14</v>
      </c>
      <c r="K337" s="14" t="s">
        <v>14</v>
      </c>
      <c r="L337" s="14" t="s">
        <v>681</v>
      </c>
      <c r="M337" s="14"/>
      <c r="N337" s="15" t="s">
        <v>682</v>
      </c>
      <c r="O337" s="15" t="s">
        <v>4</v>
      </c>
      <c r="P337" s="16">
        <v>46320</v>
      </c>
    </row>
    <row r="338" spans="1:16" ht="108" customHeight="1">
      <c r="A338" s="14" t="s">
        <v>809</v>
      </c>
      <c r="B338" s="15" t="s">
        <v>21</v>
      </c>
      <c r="C338" s="15" t="s">
        <v>810</v>
      </c>
      <c r="D338" s="15" t="s">
        <v>675</v>
      </c>
      <c r="E338" s="15" t="s">
        <v>676</v>
      </c>
      <c r="F338" s="15" t="s">
        <v>677</v>
      </c>
      <c r="G338" s="15" t="s">
        <v>678</v>
      </c>
      <c r="H338" s="15" t="s">
        <v>679</v>
      </c>
      <c r="I338" s="15" t="s">
        <v>811</v>
      </c>
      <c r="J338" s="14" t="s">
        <v>14</v>
      </c>
      <c r="K338" s="14" t="s">
        <v>14</v>
      </c>
      <c r="L338" s="14" t="s">
        <v>681</v>
      </c>
      <c r="M338" s="14"/>
      <c r="N338" s="15" t="s">
        <v>682</v>
      </c>
      <c r="O338" s="15" t="s">
        <v>4</v>
      </c>
      <c r="P338" s="16">
        <v>46320</v>
      </c>
    </row>
    <row r="339" spans="1:16" ht="108" customHeight="1">
      <c r="A339" s="14" t="s">
        <v>812</v>
      </c>
      <c r="B339" s="15" t="s">
        <v>21</v>
      </c>
      <c r="C339" s="15" t="s">
        <v>813</v>
      </c>
      <c r="D339" s="15" t="s">
        <v>675</v>
      </c>
      <c r="E339" s="15" t="s">
        <v>676</v>
      </c>
      <c r="F339" s="15" t="s">
        <v>677</v>
      </c>
      <c r="G339" s="15" t="s">
        <v>678</v>
      </c>
      <c r="H339" s="15" t="s">
        <v>679</v>
      </c>
      <c r="I339" s="15" t="s">
        <v>814</v>
      </c>
      <c r="J339" s="14" t="s">
        <v>14</v>
      </c>
      <c r="K339" s="14" t="s">
        <v>14</v>
      </c>
      <c r="L339" s="14" t="s">
        <v>681</v>
      </c>
      <c r="M339" s="14"/>
      <c r="N339" s="15" t="s">
        <v>682</v>
      </c>
      <c r="O339" s="15" t="s">
        <v>4</v>
      </c>
      <c r="P339" s="16">
        <v>46320</v>
      </c>
    </row>
    <row r="340" spans="1:16" ht="108" customHeight="1">
      <c r="A340" s="14" t="s">
        <v>815</v>
      </c>
      <c r="B340" s="15" t="s">
        <v>21</v>
      </c>
      <c r="C340" s="15" t="s">
        <v>816</v>
      </c>
      <c r="D340" s="15" t="s">
        <v>675</v>
      </c>
      <c r="E340" s="15" t="s">
        <v>676</v>
      </c>
      <c r="F340" s="15" t="s">
        <v>677</v>
      </c>
      <c r="G340" s="15" t="s">
        <v>678</v>
      </c>
      <c r="H340" s="15" t="s">
        <v>679</v>
      </c>
      <c r="I340" s="15" t="s">
        <v>817</v>
      </c>
      <c r="J340" s="14" t="s">
        <v>14</v>
      </c>
      <c r="K340" s="14" t="s">
        <v>14</v>
      </c>
      <c r="L340" s="14" t="s">
        <v>681</v>
      </c>
      <c r="M340" s="14"/>
      <c r="N340" s="15" t="s">
        <v>682</v>
      </c>
      <c r="O340" s="15" t="s">
        <v>4</v>
      </c>
      <c r="P340" s="16">
        <v>46320</v>
      </c>
    </row>
    <row r="341" spans="1:16" ht="108" customHeight="1">
      <c r="A341" s="14" t="s">
        <v>818</v>
      </c>
      <c r="B341" s="15" t="s">
        <v>21</v>
      </c>
      <c r="C341" s="15" t="s">
        <v>819</v>
      </c>
      <c r="D341" s="15" t="s">
        <v>675</v>
      </c>
      <c r="E341" s="15" t="s">
        <v>676</v>
      </c>
      <c r="F341" s="15" t="s">
        <v>677</v>
      </c>
      <c r="G341" s="15" t="s">
        <v>678</v>
      </c>
      <c r="H341" s="15" t="s">
        <v>679</v>
      </c>
      <c r="I341" s="15" t="s">
        <v>820</v>
      </c>
      <c r="J341" s="14" t="s">
        <v>14</v>
      </c>
      <c r="K341" s="14" t="s">
        <v>14</v>
      </c>
      <c r="L341" s="14" t="s">
        <v>681</v>
      </c>
      <c r="M341" s="14"/>
      <c r="N341" s="15" t="s">
        <v>682</v>
      </c>
      <c r="O341" s="15" t="s">
        <v>4</v>
      </c>
      <c r="P341" s="16">
        <v>46320</v>
      </c>
    </row>
    <row r="342" spans="1:16" ht="108" customHeight="1">
      <c r="A342" s="14" t="s">
        <v>821</v>
      </c>
      <c r="B342" s="15" t="s">
        <v>21</v>
      </c>
      <c r="C342" s="15" t="s">
        <v>822</v>
      </c>
      <c r="D342" s="15" t="s">
        <v>675</v>
      </c>
      <c r="E342" s="15" t="s">
        <v>676</v>
      </c>
      <c r="F342" s="15" t="s">
        <v>677</v>
      </c>
      <c r="G342" s="15" t="s">
        <v>678</v>
      </c>
      <c r="H342" s="15" t="s">
        <v>679</v>
      </c>
      <c r="I342" s="15" t="s">
        <v>823</v>
      </c>
      <c r="J342" s="14" t="s">
        <v>14</v>
      </c>
      <c r="K342" s="14" t="s">
        <v>14</v>
      </c>
      <c r="L342" s="14" t="s">
        <v>681</v>
      </c>
      <c r="M342" s="14"/>
      <c r="N342" s="15" t="s">
        <v>682</v>
      </c>
      <c r="O342" s="15" t="s">
        <v>4</v>
      </c>
      <c r="P342" s="16">
        <v>46320</v>
      </c>
    </row>
    <row r="343" spans="1:16" ht="108" customHeight="1">
      <c r="A343" s="14" t="s">
        <v>824</v>
      </c>
      <c r="B343" s="15" t="s">
        <v>21</v>
      </c>
      <c r="C343" s="15" t="s">
        <v>825</v>
      </c>
      <c r="D343" s="15" t="s">
        <v>675</v>
      </c>
      <c r="E343" s="15" t="s">
        <v>676</v>
      </c>
      <c r="F343" s="15" t="s">
        <v>677</v>
      </c>
      <c r="G343" s="15" t="s">
        <v>678</v>
      </c>
      <c r="H343" s="15" t="s">
        <v>679</v>
      </c>
      <c r="I343" s="15" t="s">
        <v>826</v>
      </c>
      <c r="J343" s="14" t="s">
        <v>14</v>
      </c>
      <c r="K343" s="14" t="s">
        <v>14</v>
      </c>
      <c r="L343" s="14" t="s">
        <v>681</v>
      </c>
      <c r="M343" s="14"/>
      <c r="N343" s="15" t="s">
        <v>682</v>
      </c>
      <c r="O343" s="15" t="s">
        <v>4</v>
      </c>
      <c r="P343" s="16">
        <v>46320</v>
      </c>
    </row>
    <row r="344" spans="1:16" ht="108" customHeight="1">
      <c r="A344" s="14" t="s">
        <v>827</v>
      </c>
      <c r="B344" s="15" t="s">
        <v>21</v>
      </c>
      <c r="C344" s="15" t="s">
        <v>828</v>
      </c>
      <c r="D344" s="15" t="s">
        <v>675</v>
      </c>
      <c r="E344" s="15" t="s">
        <v>676</v>
      </c>
      <c r="F344" s="15" t="s">
        <v>677</v>
      </c>
      <c r="G344" s="15" t="s">
        <v>678</v>
      </c>
      <c r="H344" s="15" t="s">
        <v>679</v>
      </c>
      <c r="I344" s="15" t="s">
        <v>829</v>
      </c>
      <c r="J344" s="14" t="s">
        <v>14</v>
      </c>
      <c r="K344" s="14" t="s">
        <v>14</v>
      </c>
      <c r="L344" s="14" t="s">
        <v>681</v>
      </c>
      <c r="M344" s="14"/>
      <c r="N344" s="15" t="s">
        <v>682</v>
      </c>
      <c r="O344" s="15" t="s">
        <v>4</v>
      </c>
      <c r="P344" s="16">
        <v>46320</v>
      </c>
    </row>
    <row r="345" spans="1:16" ht="108" customHeight="1">
      <c r="A345" s="14" t="s">
        <v>830</v>
      </c>
      <c r="B345" s="15" t="s">
        <v>21</v>
      </c>
      <c r="C345" s="15" t="s">
        <v>831</v>
      </c>
      <c r="D345" s="15" t="s">
        <v>675</v>
      </c>
      <c r="E345" s="15" t="s">
        <v>676</v>
      </c>
      <c r="F345" s="15" t="s">
        <v>677</v>
      </c>
      <c r="G345" s="15" t="s">
        <v>678</v>
      </c>
      <c r="H345" s="15" t="s">
        <v>679</v>
      </c>
      <c r="I345" s="15" t="s">
        <v>832</v>
      </c>
      <c r="J345" s="14" t="s">
        <v>14</v>
      </c>
      <c r="K345" s="14" t="s">
        <v>14</v>
      </c>
      <c r="L345" s="14" t="s">
        <v>681</v>
      </c>
      <c r="M345" s="14"/>
      <c r="N345" s="15" t="s">
        <v>682</v>
      </c>
      <c r="O345" s="15" t="s">
        <v>4</v>
      </c>
      <c r="P345" s="16">
        <v>46320</v>
      </c>
    </row>
    <row r="346" spans="1:16" ht="108" customHeight="1">
      <c r="A346" s="14" t="s">
        <v>833</v>
      </c>
      <c r="B346" s="15" t="s">
        <v>21</v>
      </c>
      <c r="C346" s="15" t="s">
        <v>834</v>
      </c>
      <c r="D346" s="15" t="s">
        <v>675</v>
      </c>
      <c r="E346" s="15" t="s">
        <v>676</v>
      </c>
      <c r="F346" s="15" t="s">
        <v>677</v>
      </c>
      <c r="G346" s="15" t="s">
        <v>678</v>
      </c>
      <c r="H346" s="15" t="s">
        <v>679</v>
      </c>
      <c r="I346" s="15" t="s">
        <v>835</v>
      </c>
      <c r="J346" s="14" t="s">
        <v>14</v>
      </c>
      <c r="K346" s="14" t="s">
        <v>14</v>
      </c>
      <c r="L346" s="14" t="s">
        <v>681</v>
      </c>
      <c r="M346" s="14"/>
      <c r="N346" s="15" t="s">
        <v>682</v>
      </c>
      <c r="O346" s="15" t="s">
        <v>4</v>
      </c>
      <c r="P346" s="16">
        <v>46320</v>
      </c>
    </row>
    <row r="347" spans="1:16" ht="108" customHeight="1">
      <c r="A347" s="14" t="s">
        <v>836</v>
      </c>
      <c r="B347" s="15" t="s">
        <v>21</v>
      </c>
      <c r="C347" s="15" t="s">
        <v>837</v>
      </c>
      <c r="D347" s="15" t="s">
        <v>675</v>
      </c>
      <c r="E347" s="15" t="s">
        <v>676</v>
      </c>
      <c r="F347" s="15" t="s">
        <v>677</v>
      </c>
      <c r="G347" s="15" t="s">
        <v>678</v>
      </c>
      <c r="H347" s="15" t="s">
        <v>679</v>
      </c>
      <c r="I347" s="15" t="s">
        <v>838</v>
      </c>
      <c r="J347" s="14" t="s">
        <v>14</v>
      </c>
      <c r="K347" s="14" t="s">
        <v>14</v>
      </c>
      <c r="L347" s="14" t="s">
        <v>681</v>
      </c>
      <c r="M347" s="14"/>
      <c r="N347" s="15" t="s">
        <v>682</v>
      </c>
      <c r="O347" s="15" t="s">
        <v>4</v>
      </c>
      <c r="P347" s="16">
        <v>46320</v>
      </c>
    </row>
    <row r="348" spans="1:16" ht="108" customHeight="1">
      <c r="A348" s="14" t="s">
        <v>839</v>
      </c>
      <c r="B348" s="15" t="s">
        <v>21</v>
      </c>
      <c r="C348" s="15" t="s">
        <v>840</v>
      </c>
      <c r="D348" s="15" t="s">
        <v>675</v>
      </c>
      <c r="E348" s="15" t="s">
        <v>676</v>
      </c>
      <c r="F348" s="15" t="s">
        <v>677</v>
      </c>
      <c r="G348" s="15" t="s">
        <v>678</v>
      </c>
      <c r="H348" s="15" t="s">
        <v>679</v>
      </c>
      <c r="I348" s="15" t="s">
        <v>841</v>
      </c>
      <c r="J348" s="14" t="s">
        <v>14</v>
      </c>
      <c r="K348" s="14" t="s">
        <v>14</v>
      </c>
      <c r="L348" s="14" t="s">
        <v>681</v>
      </c>
      <c r="M348" s="14"/>
      <c r="N348" s="15" t="s">
        <v>682</v>
      </c>
      <c r="O348" s="15" t="s">
        <v>4</v>
      </c>
      <c r="P348" s="16">
        <v>46320</v>
      </c>
    </row>
    <row r="349" spans="1:16" ht="108" customHeight="1">
      <c r="A349" s="14" t="s">
        <v>842</v>
      </c>
      <c r="B349" s="15" t="s">
        <v>21</v>
      </c>
      <c r="C349" s="15" t="s">
        <v>843</v>
      </c>
      <c r="D349" s="15" t="s">
        <v>675</v>
      </c>
      <c r="E349" s="15" t="s">
        <v>676</v>
      </c>
      <c r="F349" s="15" t="s">
        <v>677</v>
      </c>
      <c r="G349" s="15" t="s">
        <v>678</v>
      </c>
      <c r="H349" s="15" t="s">
        <v>679</v>
      </c>
      <c r="I349" s="15" t="s">
        <v>844</v>
      </c>
      <c r="J349" s="14" t="s">
        <v>14</v>
      </c>
      <c r="K349" s="14" t="s">
        <v>14</v>
      </c>
      <c r="L349" s="14" t="s">
        <v>681</v>
      </c>
      <c r="M349" s="14"/>
      <c r="N349" s="15" t="s">
        <v>682</v>
      </c>
      <c r="O349" s="15" t="s">
        <v>4</v>
      </c>
      <c r="P349" s="16">
        <v>46320</v>
      </c>
    </row>
    <row r="350" spans="1:16" ht="108" customHeight="1">
      <c r="A350" s="14" t="s">
        <v>845</v>
      </c>
      <c r="B350" s="15" t="s">
        <v>21</v>
      </c>
      <c r="C350" s="15" t="s">
        <v>846</v>
      </c>
      <c r="D350" s="15" t="s">
        <v>675</v>
      </c>
      <c r="E350" s="15" t="s">
        <v>676</v>
      </c>
      <c r="F350" s="15" t="s">
        <v>677</v>
      </c>
      <c r="G350" s="15" t="s">
        <v>678</v>
      </c>
      <c r="H350" s="15" t="s">
        <v>679</v>
      </c>
      <c r="I350" s="15" t="s">
        <v>847</v>
      </c>
      <c r="J350" s="14" t="s">
        <v>14</v>
      </c>
      <c r="K350" s="14" t="s">
        <v>14</v>
      </c>
      <c r="L350" s="14" t="s">
        <v>681</v>
      </c>
      <c r="M350" s="14"/>
      <c r="N350" s="15" t="s">
        <v>682</v>
      </c>
      <c r="O350" s="15" t="s">
        <v>4</v>
      </c>
      <c r="P350" s="16">
        <v>46320</v>
      </c>
    </row>
    <row r="351" spans="1:16" ht="108" customHeight="1">
      <c r="A351" s="14" t="s">
        <v>848</v>
      </c>
      <c r="B351" s="15" t="s">
        <v>21</v>
      </c>
      <c r="C351" s="15" t="s">
        <v>849</v>
      </c>
      <c r="D351" s="15" t="s">
        <v>675</v>
      </c>
      <c r="E351" s="15" t="s">
        <v>676</v>
      </c>
      <c r="F351" s="15" t="s">
        <v>677</v>
      </c>
      <c r="G351" s="15" t="s">
        <v>678</v>
      </c>
      <c r="H351" s="15" t="s">
        <v>679</v>
      </c>
      <c r="I351" s="15" t="s">
        <v>850</v>
      </c>
      <c r="J351" s="14" t="s">
        <v>14</v>
      </c>
      <c r="K351" s="14" t="s">
        <v>14</v>
      </c>
      <c r="L351" s="14" t="s">
        <v>681</v>
      </c>
      <c r="M351" s="14"/>
      <c r="N351" s="15" t="s">
        <v>682</v>
      </c>
      <c r="O351" s="15" t="s">
        <v>4</v>
      </c>
      <c r="P351" s="16">
        <v>46320</v>
      </c>
    </row>
    <row r="352" spans="1:16" ht="108" customHeight="1">
      <c r="A352" s="14" t="s">
        <v>851</v>
      </c>
      <c r="B352" s="15" t="s">
        <v>21</v>
      </c>
      <c r="C352" s="15" t="s">
        <v>852</v>
      </c>
      <c r="D352" s="15" t="s">
        <v>675</v>
      </c>
      <c r="E352" s="15" t="s">
        <v>676</v>
      </c>
      <c r="F352" s="15" t="s">
        <v>677</v>
      </c>
      <c r="G352" s="15" t="s">
        <v>678</v>
      </c>
      <c r="H352" s="15" t="s">
        <v>679</v>
      </c>
      <c r="I352" s="15" t="s">
        <v>853</v>
      </c>
      <c r="J352" s="14" t="s">
        <v>14</v>
      </c>
      <c r="K352" s="14" t="s">
        <v>14</v>
      </c>
      <c r="L352" s="14" t="s">
        <v>681</v>
      </c>
      <c r="M352" s="14"/>
      <c r="N352" s="15" t="s">
        <v>682</v>
      </c>
      <c r="O352" s="15" t="s">
        <v>4</v>
      </c>
      <c r="P352" s="16">
        <v>46320</v>
      </c>
    </row>
    <row r="353" spans="1:16" ht="108" customHeight="1">
      <c r="A353" s="14" t="s">
        <v>854</v>
      </c>
      <c r="B353" s="15" t="s">
        <v>21</v>
      </c>
      <c r="C353" s="15" t="s">
        <v>855</v>
      </c>
      <c r="D353" s="15" t="s">
        <v>675</v>
      </c>
      <c r="E353" s="15" t="s">
        <v>676</v>
      </c>
      <c r="F353" s="15" t="s">
        <v>677</v>
      </c>
      <c r="G353" s="15" t="s">
        <v>678</v>
      </c>
      <c r="H353" s="15" t="s">
        <v>856</v>
      </c>
      <c r="I353" s="15" t="s">
        <v>857</v>
      </c>
      <c r="J353" s="14" t="s">
        <v>14</v>
      </c>
      <c r="K353" s="14" t="s">
        <v>14</v>
      </c>
      <c r="L353" s="14" t="s">
        <v>681</v>
      </c>
      <c r="M353" s="14"/>
      <c r="N353" s="15" t="s">
        <v>682</v>
      </c>
      <c r="O353" s="15" t="s">
        <v>4</v>
      </c>
      <c r="P353" s="16">
        <v>46320</v>
      </c>
    </row>
    <row r="354" spans="1:16" ht="108" customHeight="1">
      <c r="A354" s="14" t="s">
        <v>858</v>
      </c>
      <c r="B354" s="15" t="s">
        <v>21</v>
      </c>
      <c r="C354" s="15" t="s">
        <v>859</v>
      </c>
      <c r="D354" s="15" t="s">
        <v>675</v>
      </c>
      <c r="E354" s="15" t="s">
        <v>676</v>
      </c>
      <c r="F354" s="15" t="s">
        <v>677</v>
      </c>
      <c r="G354" s="15" t="s">
        <v>678</v>
      </c>
      <c r="H354" s="15" t="s">
        <v>856</v>
      </c>
      <c r="I354" s="15" t="s">
        <v>860</v>
      </c>
      <c r="J354" s="14" t="s">
        <v>14</v>
      </c>
      <c r="K354" s="14" t="s">
        <v>14</v>
      </c>
      <c r="L354" s="14" t="s">
        <v>681</v>
      </c>
      <c r="M354" s="14"/>
      <c r="N354" s="15" t="s">
        <v>682</v>
      </c>
      <c r="O354" s="15" t="s">
        <v>4</v>
      </c>
      <c r="P354" s="16">
        <v>46320</v>
      </c>
    </row>
    <row r="355" spans="1:16" ht="108" customHeight="1">
      <c r="A355" s="14" t="s">
        <v>861</v>
      </c>
      <c r="B355" s="15" t="s">
        <v>21</v>
      </c>
      <c r="C355" s="15" t="s">
        <v>862</v>
      </c>
      <c r="D355" s="15" t="s">
        <v>675</v>
      </c>
      <c r="E355" s="15" t="s">
        <v>676</v>
      </c>
      <c r="F355" s="15" t="s">
        <v>677</v>
      </c>
      <c r="G355" s="15" t="s">
        <v>678</v>
      </c>
      <c r="H355" s="15" t="s">
        <v>856</v>
      </c>
      <c r="I355" s="15" t="s">
        <v>863</v>
      </c>
      <c r="J355" s="14" t="s">
        <v>14</v>
      </c>
      <c r="K355" s="14" t="s">
        <v>14</v>
      </c>
      <c r="L355" s="14" t="s">
        <v>681</v>
      </c>
      <c r="M355" s="14"/>
      <c r="N355" s="15" t="s">
        <v>682</v>
      </c>
      <c r="O355" s="15" t="s">
        <v>4</v>
      </c>
      <c r="P355" s="16">
        <v>46320</v>
      </c>
    </row>
    <row r="356" spans="1:16" ht="108" customHeight="1">
      <c r="A356" s="14" t="s">
        <v>864</v>
      </c>
      <c r="B356" s="15" t="s">
        <v>21</v>
      </c>
      <c r="C356" s="15" t="s">
        <v>865</v>
      </c>
      <c r="D356" s="15" t="s">
        <v>675</v>
      </c>
      <c r="E356" s="15" t="s">
        <v>676</v>
      </c>
      <c r="F356" s="15" t="s">
        <v>677</v>
      </c>
      <c r="G356" s="15" t="s">
        <v>678</v>
      </c>
      <c r="H356" s="15" t="s">
        <v>856</v>
      </c>
      <c r="I356" s="15" t="s">
        <v>866</v>
      </c>
      <c r="J356" s="14" t="s">
        <v>14</v>
      </c>
      <c r="K356" s="14" t="s">
        <v>14</v>
      </c>
      <c r="L356" s="14" t="s">
        <v>681</v>
      </c>
      <c r="M356" s="14"/>
      <c r="N356" s="15" t="s">
        <v>682</v>
      </c>
      <c r="O356" s="15" t="s">
        <v>4</v>
      </c>
      <c r="P356" s="16">
        <v>46320</v>
      </c>
    </row>
    <row r="357" spans="1:16" ht="108" customHeight="1">
      <c r="A357" s="14" t="s">
        <v>867</v>
      </c>
      <c r="B357" s="15" t="s">
        <v>21</v>
      </c>
      <c r="C357" s="15" t="s">
        <v>868</v>
      </c>
      <c r="D357" s="15" t="s">
        <v>675</v>
      </c>
      <c r="E357" s="15" t="s">
        <v>676</v>
      </c>
      <c r="F357" s="15" t="s">
        <v>677</v>
      </c>
      <c r="G357" s="15" t="s">
        <v>678</v>
      </c>
      <c r="H357" s="15" t="s">
        <v>856</v>
      </c>
      <c r="I357" s="15" t="s">
        <v>869</v>
      </c>
      <c r="J357" s="14" t="s">
        <v>14</v>
      </c>
      <c r="K357" s="14" t="s">
        <v>14</v>
      </c>
      <c r="L357" s="14" t="s">
        <v>681</v>
      </c>
      <c r="M357" s="14"/>
      <c r="N357" s="15" t="s">
        <v>682</v>
      </c>
      <c r="O357" s="15" t="s">
        <v>4</v>
      </c>
      <c r="P357" s="16">
        <v>46320</v>
      </c>
    </row>
    <row r="358" spans="1:16" ht="108" customHeight="1">
      <c r="A358" s="14" t="s">
        <v>870</v>
      </c>
      <c r="B358" s="15" t="s">
        <v>21</v>
      </c>
      <c r="C358" s="15" t="s">
        <v>871</v>
      </c>
      <c r="D358" s="15" t="s">
        <v>675</v>
      </c>
      <c r="E358" s="15" t="s">
        <v>676</v>
      </c>
      <c r="F358" s="15" t="s">
        <v>677</v>
      </c>
      <c r="G358" s="15" t="s">
        <v>678</v>
      </c>
      <c r="H358" s="15" t="s">
        <v>856</v>
      </c>
      <c r="I358" s="15" t="s">
        <v>872</v>
      </c>
      <c r="J358" s="14" t="s">
        <v>14</v>
      </c>
      <c r="K358" s="14" t="s">
        <v>14</v>
      </c>
      <c r="L358" s="14" t="s">
        <v>681</v>
      </c>
      <c r="M358" s="14"/>
      <c r="N358" s="15" t="s">
        <v>682</v>
      </c>
      <c r="O358" s="15" t="s">
        <v>4</v>
      </c>
      <c r="P358" s="16">
        <v>46320</v>
      </c>
    </row>
    <row r="359" spans="1:16" ht="108" customHeight="1">
      <c r="A359" s="14" t="s">
        <v>873</v>
      </c>
      <c r="B359" s="15" t="s">
        <v>21</v>
      </c>
      <c r="C359" s="15" t="s">
        <v>874</v>
      </c>
      <c r="D359" s="15" t="s">
        <v>675</v>
      </c>
      <c r="E359" s="15" t="s">
        <v>676</v>
      </c>
      <c r="F359" s="15" t="s">
        <v>677</v>
      </c>
      <c r="G359" s="15" t="s">
        <v>678</v>
      </c>
      <c r="H359" s="15" t="s">
        <v>856</v>
      </c>
      <c r="I359" s="15" t="s">
        <v>875</v>
      </c>
      <c r="J359" s="14" t="s">
        <v>14</v>
      </c>
      <c r="K359" s="14" t="s">
        <v>14</v>
      </c>
      <c r="L359" s="14" t="s">
        <v>681</v>
      </c>
      <c r="M359" s="14"/>
      <c r="N359" s="15" t="s">
        <v>682</v>
      </c>
      <c r="O359" s="15" t="s">
        <v>4</v>
      </c>
      <c r="P359" s="16">
        <v>46320</v>
      </c>
    </row>
    <row r="360" spans="1:16" ht="108" customHeight="1">
      <c r="A360" s="14" t="s">
        <v>876</v>
      </c>
      <c r="B360" s="15" t="s">
        <v>21</v>
      </c>
      <c r="C360" s="15" t="s">
        <v>877</v>
      </c>
      <c r="D360" s="15" t="s">
        <v>675</v>
      </c>
      <c r="E360" s="15" t="s">
        <v>676</v>
      </c>
      <c r="F360" s="15" t="s">
        <v>677</v>
      </c>
      <c r="G360" s="15" t="s">
        <v>678</v>
      </c>
      <c r="H360" s="15" t="s">
        <v>856</v>
      </c>
      <c r="I360" s="15" t="s">
        <v>878</v>
      </c>
      <c r="J360" s="14" t="s">
        <v>14</v>
      </c>
      <c r="K360" s="14" t="s">
        <v>14</v>
      </c>
      <c r="L360" s="14" t="s">
        <v>681</v>
      </c>
      <c r="M360" s="14"/>
      <c r="N360" s="15" t="s">
        <v>682</v>
      </c>
      <c r="O360" s="15" t="s">
        <v>4</v>
      </c>
      <c r="P360" s="16">
        <v>46320</v>
      </c>
    </row>
    <row r="361" spans="1:16" ht="108" customHeight="1">
      <c r="A361" s="14" t="s">
        <v>879</v>
      </c>
      <c r="B361" s="15" t="s">
        <v>21</v>
      </c>
      <c r="C361" s="15" t="s">
        <v>880</v>
      </c>
      <c r="D361" s="15" t="s">
        <v>675</v>
      </c>
      <c r="E361" s="15" t="s">
        <v>676</v>
      </c>
      <c r="F361" s="15" t="s">
        <v>677</v>
      </c>
      <c r="G361" s="15" t="s">
        <v>678</v>
      </c>
      <c r="H361" s="15" t="s">
        <v>856</v>
      </c>
      <c r="I361" s="15" t="s">
        <v>881</v>
      </c>
      <c r="J361" s="14" t="s">
        <v>14</v>
      </c>
      <c r="K361" s="14" t="s">
        <v>14</v>
      </c>
      <c r="L361" s="14" t="s">
        <v>681</v>
      </c>
      <c r="M361" s="14"/>
      <c r="N361" s="15" t="s">
        <v>682</v>
      </c>
      <c r="O361" s="15" t="s">
        <v>4</v>
      </c>
      <c r="P361" s="16">
        <v>46320</v>
      </c>
    </row>
    <row r="362" spans="1:16" ht="108" customHeight="1">
      <c r="A362" s="14" t="s">
        <v>882</v>
      </c>
      <c r="B362" s="15" t="s">
        <v>21</v>
      </c>
      <c r="C362" s="15" t="s">
        <v>883</v>
      </c>
      <c r="D362" s="15" t="s">
        <v>675</v>
      </c>
      <c r="E362" s="15" t="s">
        <v>676</v>
      </c>
      <c r="F362" s="15" t="s">
        <v>677</v>
      </c>
      <c r="G362" s="15" t="s">
        <v>678</v>
      </c>
      <c r="H362" s="15" t="s">
        <v>856</v>
      </c>
      <c r="I362" s="15" t="s">
        <v>884</v>
      </c>
      <c r="J362" s="14" t="s">
        <v>14</v>
      </c>
      <c r="K362" s="14" t="s">
        <v>14</v>
      </c>
      <c r="L362" s="14" t="s">
        <v>681</v>
      </c>
      <c r="M362" s="14"/>
      <c r="N362" s="15" t="s">
        <v>682</v>
      </c>
      <c r="O362" s="15" t="s">
        <v>4</v>
      </c>
      <c r="P362" s="16">
        <v>46320</v>
      </c>
    </row>
    <row r="363" spans="1:16" ht="108" customHeight="1">
      <c r="A363" s="14" t="s">
        <v>885</v>
      </c>
      <c r="B363" s="15" t="s">
        <v>21</v>
      </c>
      <c r="C363" s="15" t="s">
        <v>886</v>
      </c>
      <c r="D363" s="15" t="s">
        <v>675</v>
      </c>
      <c r="E363" s="15" t="s">
        <v>676</v>
      </c>
      <c r="F363" s="15" t="s">
        <v>677</v>
      </c>
      <c r="G363" s="15" t="s">
        <v>678</v>
      </c>
      <c r="H363" s="15" t="s">
        <v>856</v>
      </c>
      <c r="I363" s="15" t="s">
        <v>887</v>
      </c>
      <c r="J363" s="14" t="s">
        <v>14</v>
      </c>
      <c r="K363" s="14" t="s">
        <v>14</v>
      </c>
      <c r="L363" s="14" t="s">
        <v>681</v>
      </c>
      <c r="M363" s="14"/>
      <c r="N363" s="15" t="s">
        <v>682</v>
      </c>
      <c r="O363" s="15" t="s">
        <v>4</v>
      </c>
      <c r="P363" s="16">
        <v>46320</v>
      </c>
    </row>
    <row r="364" spans="1:16" ht="108" customHeight="1">
      <c r="A364" s="14" t="s">
        <v>888</v>
      </c>
      <c r="B364" s="15" t="s">
        <v>21</v>
      </c>
      <c r="C364" s="15" t="s">
        <v>889</v>
      </c>
      <c r="D364" s="15" t="s">
        <v>675</v>
      </c>
      <c r="E364" s="15" t="s">
        <v>676</v>
      </c>
      <c r="F364" s="15" t="s">
        <v>677</v>
      </c>
      <c r="G364" s="15" t="s">
        <v>678</v>
      </c>
      <c r="H364" s="15" t="s">
        <v>856</v>
      </c>
      <c r="I364" s="15" t="s">
        <v>890</v>
      </c>
      <c r="J364" s="14" t="s">
        <v>14</v>
      </c>
      <c r="K364" s="14" t="s">
        <v>14</v>
      </c>
      <c r="L364" s="14" t="s">
        <v>681</v>
      </c>
      <c r="M364" s="14"/>
      <c r="N364" s="15" t="s">
        <v>682</v>
      </c>
      <c r="O364" s="15" t="s">
        <v>4</v>
      </c>
      <c r="P364" s="16">
        <v>46320</v>
      </c>
    </row>
    <row r="365" spans="1:16" ht="108" customHeight="1">
      <c r="A365" s="14" t="s">
        <v>891</v>
      </c>
      <c r="B365" s="15" t="s">
        <v>21</v>
      </c>
      <c r="C365" s="15" t="s">
        <v>892</v>
      </c>
      <c r="D365" s="15" t="s">
        <v>675</v>
      </c>
      <c r="E365" s="15" t="s">
        <v>676</v>
      </c>
      <c r="F365" s="15" t="s">
        <v>677</v>
      </c>
      <c r="G365" s="15" t="s">
        <v>678</v>
      </c>
      <c r="H365" s="15" t="s">
        <v>856</v>
      </c>
      <c r="I365" s="15" t="s">
        <v>893</v>
      </c>
      <c r="J365" s="14" t="s">
        <v>14</v>
      </c>
      <c r="K365" s="14" t="s">
        <v>14</v>
      </c>
      <c r="L365" s="14" t="s">
        <v>681</v>
      </c>
      <c r="M365" s="14"/>
      <c r="N365" s="15" t="s">
        <v>682</v>
      </c>
      <c r="O365" s="15" t="s">
        <v>4</v>
      </c>
      <c r="P365" s="16">
        <v>46320</v>
      </c>
    </row>
    <row r="366" spans="1:16" ht="108" customHeight="1">
      <c r="A366" s="14" t="s">
        <v>894</v>
      </c>
      <c r="B366" s="15" t="s">
        <v>21</v>
      </c>
      <c r="C366" s="15" t="s">
        <v>895</v>
      </c>
      <c r="D366" s="15" t="s">
        <v>675</v>
      </c>
      <c r="E366" s="15" t="s">
        <v>676</v>
      </c>
      <c r="F366" s="15" t="s">
        <v>677</v>
      </c>
      <c r="G366" s="15" t="s">
        <v>678</v>
      </c>
      <c r="H366" s="15" t="s">
        <v>856</v>
      </c>
      <c r="I366" s="15" t="s">
        <v>896</v>
      </c>
      <c r="J366" s="14" t="s">
        <v>14</v>
      </c>
      <c r="K366" s="14" t="s">
        <v>14</v>
      </c>
      <c r="L366" s="14" t="s">
        <v>681</v>
      </c>
      <c r="M366" s="14"/>
      <c r="N366" s="15" t="s">
        <v>682</v>
      </c>
      <c r="O366" s="15" t="s">
        <v>4</v>
      </c>
      <c r="P366" s="16">
        <v>46320</v>
      </c>
    </row>
    <row r="367" spans="1:16" ht="108" customHeight="1">
      <c r="A367" s="14" t="s">
        <v>897</v>
      </c>
      <c r="B367" s="15" t="s">
        <v>21</v>
      </c>
      <c r="C367" s="15" t="s">
        <v>898</v>
      </c>
      <c r="D367" s="15" t="s">
        <v>675</v>
      </c>
      <c r="E367" s="15" t="s">
        <v>676</v>
      </c>
      <c r="F367" s="15" t="s">
        <v>677</v>
      </c>
      <c r="G367" s="15" t="s">
        <v>678</v>
      </c>
      <c r="H367" s="15" t="s">
        <v>856</v>
      </c>
      <c r="I367" s="15" t="s">
        <v>899</v>
      </c>
      <c r="J367" s="14" t="s">
        <v>14</v>
      </c>
      <c r="K367" s="14" t="s">
        <v>14</v>
      </c>
      <c r="L367" s="14" t="s">
        <v>681</v>
      </c>
      <c r="M367" s="14"/>
      <c r="N367" s="15" t="s">
        <v>682</v>
      </c>
      <c r="O367" s="15" t="s">
        <v>4</v>
      </c>
      <c r="P367" s="16">
        <v>46320</v>
      </c>
    </row>
    <row r="368" spans="1:16" ht="108" customHeight="1">
      <c r="A368" s="14" t="s">
        <v>900</v>
      </c>
      <c r="B368" s="15" t="s">
        <v>21</v>
      </c>
      <c r="C368" s="15" t="s">
        <v>901</v>
      </c>
      <c r="D368" s="15" t="s">
        <v>675</v>
      </c>
      <c r="E368" s="15" t="s">
        <v>676</v>
      </c>
      <c r="F368" s="15" t="s">
        <v>677</v>
      </c>
      <c r="G368" s="15" t="s">
        <v>678</v>
      </c>
      <c r="H368" s="15" t="s">
        <v>856</v>
      </c>
      <c r="I368" s="15" t="s">
        <v>902</v>
      </c>
      <c r="J368" s="14" t="s">
        <v>14</v>
      </c>
      <c r="K368" s="14" t="s">
        <v>14</v>
      </c>
      <c r="L368" s="14" t="s">
        <v>681</v>
      </c>
      <c r="M368" s="14"/>
      <c r="N368" s="15" t="s">
        <v>682</v>
      </c>
      <c r="O368" s="15" t="s">
        <v>4</v>
      </c>
      <c r="P368" s="16">
        <v>46320</v>
      </c>
    </row>
    <row r="369" spans="1:16" ht="108" customHeight="1">
      <c r="A369" s="14" t="s">
        <v>903</v>
      </c>
      <c r="B369" s="15" t="s">
        <v>21</v>
      </c>
      <c r="C369" s="15" t="s">
        <v>904</v>
      </c>
      <c r="D369" s="15" t="s">
        <v>675</v>
      </c>
      <c r="E369" s="15" t="s">
        <v>676</v>
      </c>
      <c r="F369" s="15" t="s">
        <v>677</v>
      </c>
      <c r="G369" s="15" t="s">
        <v>678</v>
      </c>
      <c r="H369" s="15" t="s">
        <v>856</v>
      </c>
      <c r="I369" s="15" t="s">
        <v>905</v>
      </c>
      <c r="J369" s="14" t="s">
        <v>14</v>
      </c>
      <c r="K369" s="14" t="s">
        <v>14</v>
      </c>
      <c r="L369" s="14" t="s">
        <v>681</v>
      </c>
      <c r="M369" s="14"/>
      <c r="N369" s="15" t="s">
        <v>682</v>
      </c>
      <c r="O369" s="15" t="s">
        <v>4</v>
      </c>
      <c r="P369" s="16">
        <v>46320</v>
      </c>
    </row>
    <row r="370" spans="1:16" ht="108" customHeight="1">
      <c r="A370" s="14" t="s">
        <v>906</v>
      </c>
      <c r="B370" s="15" t="s">
        <v>21</v>
      </c>
      <c r="C370" s="15" t="s">
        <v>907</v>
      </c>
      <c r="D370" s="15" t="s">
        <v>675</v>
      </c>
      <c r="E370" s="15" t="s">
        <v>676</v>
      </c>
      <c r="F370" s="15" t="s">
        <v>677</v>
      </c>
      <c r="G370" s="15" t="s">
        <v>678</v>
      </c>
      <c r="H370" s="15" t="s">
        <v>856</v>
      </c>
      <c r="I370" s="15" t="s">
        <v>908</v>
      </c>
      <c r="J370" s="14" t="s">
        <v>14</v>
      </c>
      <c r="K370" s="14" t="s">
        <v>14</v>
      </c>
      <c r="L370" s="14" t="s">
        <v>681</v>
      </c>
      <c r="M370" s="14"/>
      <c r="N370" s="15" t="s">
        <v>682</v>
      </c>
      <c r="O370" s="15" t="s">
        <v>4</v>
      </c>
      <c r="P370" s="16">
        <v>46320</v>
      </c>
    </row>
    <row r="371" spans="1:16" ht="108" customHeight="1">
      <c r="A371" s="14" t="s">
        <v>909</v>
      </c>
      <c r="B371" s="15" t="s">
        <v>21</v>
      </c>
      <c r="C371" s="15" t="s">
        <v>910</v>
      </c>
      <c r="D371" s="15" t="s">
        <v>675</v>
      </c>
      <c r="E371" s="15" t="s">
        <v>676</v>
      </c>
      <c r="F371" s="15" t="s">
        <v>677</v>
      </c>
      <c r="G371" s="15" t="s">
        <v>678</v>
      </c>
      <c r="H371" s="15" t="s">
        <v>911</v>
      </c>
      <c r="I371" s="15" t="s">
        <v>912</v>
      </c>
      <c r="J371" s="14" t="s">
        <v>14</v>
      </c>
      <c r="K371" s="14" t="s">
        <v>14</v>
      </c>
      <c r="L371" s="14" t="s">
        <v>681</v>
      </c>
      <c r="M371" s="14"/>
      <c r="N371" s="15" t="s">
        <v>682</v>
      </c>
      <c r="O371" s="15" t="s">
        <v>4</v>
      </c>
      <c r="P371" s="16">
        <v>46320</v>
      </c>
    </row>
    <row r="372" spans="1:16" ht="108" customHeight="1">
      <c r="A372" s="14" t="s">
        <v>913</v>
      </c>
      <c r="B372" s="15" t="s">
        <v>21</v>
      </c>
      <c r="C372" s="15" t="s">
        <v>914</v>
      </c>
      <c r="D372" s="15" t="s">
        <v>675</v>
      </c>
      <c r="E372" s="15" t="s">
        <v>676</v>
      </c>
      <c r="F372" s="15" t="s">
        <v>677</v>
      </c>
      <c r="G372" s="15" t="s">
        <v>678</v>
      </c>
      <c r="H372" s="15" t="s">
        <v>856</v>
      </c>
      <c r="I372" s="15" t="s">
        <v>915</v>
      </c>
      <c r="J372" s="14" t="s">
        <v>14</v>
      </c>
      <c r="K372" s="14" t="s">
        <v>14</v>
      </c>
      <c r="L372" s="14" t="s">
        <v>681</v>
      </c>
      <c r="M372" s="14"/>
      <c r="N372" s="15" t="s">
        <v>682</v>
      </c>
      <c r="O372" s="15" t="s">
        <v>4</v>
      </c>
      <c r="P372" s="16">
        <v>46320</v>
      </c>
    </row>
    <row r="373" spans="1:16" ht="108" customHeight="1">
      <c r="A373" s="14" t="s">
        <v>916</v>
      </c>
      <c r="B373" s="15" t="s">
        <v>21</v>
      </c>
      <c r="C373" s="15" t="s">
        <v>917</v>
      </c>
      <c r="D373" s="15" t="s">
        <v>675</v>
      </c>
      <c r="E373" s="15" t="s">
        <v>676</v>
      </c>
      <c r="F373" s="15" t="s">
        <v>677</v>
      </c>
      <c r="G373" s="15" t="s">
        <v>678</v>
      </c>
      <c r="H373" s="15" t="s">
        <v>911</v>
      </c>
      <c r="I373" s="15" t="s">
        <v>918</v>
      </c>
      <c r="J373" s="14" t="s">
        <v>14</v>
      </c>
      <c r="K373" s="14" t="s">
        <v>14</v>
      </c>
      <c r="L373" s="14" t="s">
        <v>681</v>
      </c>
      <c r="M373" s="14"/>
      <c r="N373" s="15" t="s">
        <v>682</v>
      </c>
      <c r="O373" s="15" t="s">
        <v>4</v>
      </c>
      <c r="P373" s="16">
        <v>46320</v>
      </c>
    </row>
    <row r="374" spans="1:16" ht="108" customHeight="1">
      <c r="A374" s="14" t="s">
        <v>919</v>
      </c>
      <c r="B374" s="15" t="s">
        <v>21</v>
      </c>
      <c r="C374" s="15" t="s">
        <v>920</v>
      </c>
      <c r="D374" s="15" t="s">
        <v>675</v>
      </c>
      <c r="E374" s="15" t="s">
        <v>676</v>
      </c>
      <c r="F374" s="15" t="s">
        <v>677</v>
      </c>
      <c r="G374" s="15" t="s">
        <v>678</v>
      </c>
      <c r="H374" s="15" t="s">
        <v>856</v>
      </c>
      <c r="I374" s="15" t="s">
        <v>921</v>
      </c>
      <c r="J374" s="14" t="s">
        <v>14</v>
      </c>
      <c r="K374" s="14" t="s">
        <v>14</v>
      </c>
      <c r="L374" s="14" t="s">
        <v>681</v>
      </c>
      <c r="M374" s="14"/>
      <c r="N374" s="15" t="s">
        <v>682</v>
      </c>
      <c r="O374" s="15" t="s">
        <v>4</v>
      </c>
      <c r="P374" s="16">
        <v>46320</v>
      </c>
    </row>
    <row r="375" spans="1:16" ht="108" customHeight="1">
      <c r="A375" s="14" t="s">
        <v>922</v>
      </c>
      <c r="B375" s="15" t="s">
        <v>21</v>
      </c>
      <c r="C375" s="15" t="s">
        <v>923</v>
      </c>
      <c r="D375" s="15" t="s">
        <v>675</v>
      </c>
      <c r="E375" s="15" t="s">
        <v>676</v>
      </c>
      <c r="F375" s="15" t="s">
        <v>677</v>
      </c>
      <c r="G375" s="15" t="s">
        <v>678</v>
      </c>
      <c r="H375" s="15" t="s">
        <v>911</v>
      </c>
      <c r="I375" s="15" t="s">
        <v>924</v>
      </c>
      <c r="J375" s="14" t="s">
        <v>14</v>
      </c>
      <c r="K375" s="14" t="s">
        <v>14</v>
      </c>
      <c r="L375" s="14" t="s">
        <v>681</v>
      </c>
      <c r="M375" s="14"/>
      <c r="N375" s="15" t="s">
        <v>682</v>
      </c>
      <c r="O375" s="15" t="s">
        <v>4</v>
      </c>
      <c r="P375" s="16">
        <v>46320</v>
      </c>
    </row>
    <row r="376" spans="1:16" ht="108" customHeight="1">
      <c r="A376" s="14" t="s">
        <v>925</v>
      </c>
      <c r="B376" s="15" t="s">
        <v>21</v>
      </c>
      <c r="C376" s="15" t="s">
        <v>926</v>
      </c>
      <c r="D376" s="15" t="s">
        <v>675</v>
      </c>
      <c r="E376" s="15" t="s">
        <v>676</v>
      </c>
      <c r="F376" s="15" t="s">
        <v>677</v>
      </c>
      <c r="G376" s="15" t="s">
        <v>678</v>
      </c>
      <c r="H376" s="15" t="s">
        <v>856</v>
      </c>
      <c r="I376" s="15" t="s">
        <v>927</v>
      </c>
      <c r="J376" s="14" t="s">
        <v>14</v>
      </c>
      <c r="K376" s="14" t="s">
        <v>14</v>
      </c>
      <c r="L376" s="14" t="s">
        <v>681</v>
      </c>
      <c r="M376" s="14"/>
      <c r="N376" s="15" t="s">
        <v>682</v>
      </c>
      <c r="O376" s="15" t="s">
        <v>4</v>
      </c>
      <c r="P376" s="16">
        <v>46320</v>
      </c>
    </row>
    <row r="377" spans="1:16" ht="108" customHeight="1">
      <c r="A377" s="14" t="s">
        <v>928</v>
      </c>
      <c r="B377" s="15" t="s">
        <v>21</v>
      </c>
      <c r="C377" s="15" t="s">
        <v>929</v>
      </c>
      <c r="D377" s="15" t="s">
        <v>675</v>
      </c>
      <c r="E377" s="15" t="s">
        <v>676</v>
      </c>
      <c r="F377" s="15" t="s">
        <v>677</v>
      </c>
      <c r="G377" s="15" t="s">
        <v>678</v>
      </c>
      <c r="H377" s="15" t="s">
        <v>911</v>
      </c>
      <c r="I377" s="15" t="s">
        <v>930</v>
      </c>
      <c r="J377" s="14" t="s">
        <v>14</v>
      </c>
      <c r="K377" s="14" t="s">
        <v>14</v>
      </c>
      <c r="L377" s="14" t="s">
        <v>681</v>
      </c>
      <c r="M377" s="14"/>
      <c r="N377" s="15" t="s">
        <v>682</v>
      </c>
      <c r="O377" s="15" t="s">
        <v>4</v>
      </c>
      <c r="P377" s="16">
        <v>46320</v>
      </c>
    </row>
    <row r="378" spans="1:16" ht="108" customHeight="1">
      <c r="A378" s="14" t="s">
        <v>931</v>
      </c>
      <c r="B378" s="15" t="s">
        <v>21</v>
      </c>
      <c r="C378" s="15" t="s">
        <v>932</v>
      </c>
      <c r="D378" s="15" t="s">
        <v>675</v>
      </c>
      <c r="E378" s="15" t="s">
        <v>676</v>
      </c>
      <c r="F378" s="15" t="s">
        <v>677</v>
      </c>
      <c r="G378" s="15" t="s">
        <v>678</v>
      </c>
      <c r="H378" s="15" t="s">
        <v>911</v>
      </c>
      <c r="I378" s="15" t="s">
        <v>933</v>
      </c>
      <c r="J378" s="14" t="s">
        <v>14</v>
      </c>
      <c r="K378" s="14" t="s">
        <v>14</v>
      </c>
      <c r="L378" s="14" t="s">
        <v>681</v>
      </c>
      <c r="M378" s="14"/>
      <c r="N378" s="15" t="s">
        <v>682</v>
      </c>
      <c r="O378" s="15" t="s">
        <v>4</v>
      </c>
      <c r="P378" s="16">
        <v>46320</v>
      </c>
    </row>
    <row r="379" spans="1:16" ht="108" customHeight="1">
      <c r="A379" s="14" t="s">
        <v>934</v>
      </c>
      <c r="B379" s="15" t="s">
        <v>21</v>
      </c>
      <c r="C379" s="15" t="s">
        <v>935</v>
      </c>
      <c r="D379" s="15" t="s">
        <v>675</v>
      </c>
      <c r="E379" s="15" t="s">
        <v>676</v>
      </c>
      <c r="F379" s="15" t="s">
        <v>677</v>
      </c>
      <c r="G379" s="15" t="s">
        <v>678</v>
      </c>
      <c r="H379" s="15" t="s">
        <v>911</v>
      </c>
      <c r="I379" s="15" t="s">
        <v>936</v>
      </c>
      <c r="J379" s="14" t="s">
        <v>14</v>
      </c>
      <c r="K379" s="14" t="s">
        <v>14</v>
      </c>
      <c r="L379" s="14" t="s">
        <v>681</v>
      </c>
      <c r="M379" s="14"/>
      <c r="N379" s="15" t="s">
        <v>682</v>
      </c>
      <c r="O379" s="15" t="s">
        <v>4</v>
      </c>
      <c r="P379" s="16">
        <v>46320</v>
      </c>
    </row>
    <row r="380" spans="1:16" ht="108" customHeight="1">
      <c r="A380" s="14" t="s">
        <v>937</v>
      </c>
      <c r="B380" s="15" t="s">
        <v>21</v>
      </c>
      <c r="C380" s="15" t="s">
        <v>938</v>
      </c>
      <c r="D380" s="15" t="s">
        <v>675</v>
      </c>
      <c r="E380" s="15" t="s">
        <v>676</v>
      </c>
      <c r="F380" s="15" t="s">
        <v>677</v>
      </c>
      <c r="G380" s="15" t="s">
        <v>678</v>
      </c>
      <c r="H380" s="15" t="s">
        <v>911</v>
      </c>
      <c r="I380" s="15" t="s">
        <v>939</v>
      </c>
      <c r="J380" s="14" t="s">
        <v>14</v>
      </c>
      <c r="K380" s="14" t="s">
        <v>14</v>
      </c>
      <c r="L380" s="14" t="s">
        <v>681</v>
      </c>
      <c r="M380" s="14"/>
      <c r="N380" s="15" t="s">
        <v>682</v>
      </c>
      <c r="O380" s="15" t="s">
        <v>4</v>
      </c>
      <c r="P380" s="16">
        <v>46320</v>
      </c>
    </row>
    <row r="381" spans="1:16" ht="108" customHeight="1">
      <c r="A381" s="14" t="s">
        <v>940</v>
      </c>
      <c r="B381" s="15" t="s">
        <v>21</v>
      </c>
      <c r="C381" s="15" t="s">
        <v>941</v>
      </c>
      <c r="D381" s="15" t="s">
        <v>675</v>
      </c>
      <c r="E381" s="15" t="s">
        <v>676</v>
      </c>
      <c r="F381" s="15" t="s">
        <v>677</v>
      </c>
      <c r="G381" s="15" t="s">
        <v>678</v>
      </c>
      <c r="H381" s="15" t="s">
        <v>911</v>
      </c>
      <c r="I381" s="15" t="s">
        <v>942</v>
      </c>
      <c r="J381" s="14" t="s">
        <v>14</v>
      </c>
      <c r="K381" s="14" t="s">
        <v>14</v>
      </c>
      <c r="L381" s="14" t="s">
        <v>681</v>
      </c>
      <c r="M381" s="14"/>
      <c r="N381" s="15" t="s">
        <v>682</v>
      </c>
      <c r="O381" s="15" t="s">
        <v>4</v>
      </c>
      <c r="P381" s="16">
        <v>46320</v>
      </c>
    </row>
    <row r="382" spans="1:16" ht="108" customHeight="1">
      <c r="A382" s="14" t="s">
        <v>943</v>
      </c>
      <c r="B382" s="15" t="s">
        <v>21</v>
      </c>
      <c r="C382" s="15" t="s">
        <v>944</v>
      </c>
      <c r="D382" s="15" t="s">
        <v>675</v>
      </c>
      <c r="E382" s="15" t="s">
        <v>676</v>
      </c>
      <c r="F382" s="15" t="s">
        <v>677</v>
      </c>
      <c r="G382" s="15" t="s">
        <v>678</v>
      </c>
      <c r="H382" s="15" t="s">
        <v>911</v>
      </c>
      <c r="I382" s="15" t="s">
        <v>945</v>
      </c>
      <c r="J382" s="14" t="s">
        <v>14</v>
      </c>
      <c r="K382" s="14" t="s">
        <v>14</v>
      </c>
      <c r="L382" s="14" t="s">
        <v>681</v>
      </c>
      <c r="M382" s="14"/>
      <c r="N382" s="15" t="s">
        <v>682</v>
      </c>
      <c r="O382" s="15" t="s">
        <v>4</v>
      </c>
      <c r="P382" s="16">
        <v>46320</v>
      </c>
    </row>
    <row r="383" spans="1:16" ht="108" customHeight="1">
      <c r="A383" s="14" t="s">
        <v>946</v>
      </c>
      <c r="B383" s="15" t="s">
        <v>21</v>
      </c>
      <c r="C383" s="15" t="s">
        <v>947</v>
      </c>
      <c r="D383" s="15" t="s">
        <v>675</v>
      </c>
      <c r="E383" s="15" t="s">
        <v>676</v>
      </c>
      <c r="F383" s="15" t="s">
        <v>677</v>
      </c>
      <c r="G383" s="15" t="s">
        <v>678</v>
      </c>
      <c r="H383" s="15" t="s">
        <v>679</v>
      </c>
      <c r="I383" s="15" t="s">
        <v>948</v>
      </c>
      <c r="J383" s="14" t="s">
        <v>14</v>
      </c>
      <c r="K383" s="14" t="s">
        <v>14</v>
      </c>
      <c r="L383" s="14" t="s">
        <v>681</v>
      </c>
      <c r="M383" s="14"/>
      <c r="N383" s="15" t="s">
        <v>682</v>
      </c>
      <c r="O383" s="15" t="s">
        <v>4</v>
      </c>
      <c r="P383" s="16">
        <v>46320</v>
      </c>
    </row>
    <row r="384" spans="1:16" ht="108" customHeight="1">
      <c r="A384" s="14" t="s">
        <v>949</v>
      </c>
      <c r="B384" s="15" t="s">
        <v>21</v>
      </c>
      <c r="C384" s="15" t="s">
        <v>950</v>
      </c>
      <c r="D384" s="15" t="s">
        <v>675</v>
      </c>
      <c r="E384" s="15" t="s">
        <v>676</v>
      </c>
      <c r="F384" s="15" t="s">
        <v>677</v>
      </c>
      <c r="G384" s="15" t="s">
        <v>678</v>
      </c>
      <c r="H384" s="15" t="s">
        <v>856</v>
      </c>
      <c r="I384" s="15" t="s">
        <v>951</v>
      </c>
      <c r="J384" s="14" t="s">
        <v>14</v>
      </c>
      <c r="K384" s="14" t="s">
        <v>14</v>
      </c>
      <c r="L384" s="14" t="s">
        <v>681</v>
      </c>
      <c r="M384" s="14"/>
      <c r="N384" s="15" t="s">
        <v>682</v>
      </c>
      <c r="O384" s="15" t="s">
        <v>4</v>
      </c>
      <c r="P384" s="16">
        <v>46320</v>
      </c>
    </row>
    <row r="385" spans="1:16" ht="108" customHeight="1">
      <c r="A385" s="14" t="s">
        <v>952</v>
      </c>
      <c r="B385" s="15" t="s">
        <v>21</v>
      </c>
      <c r="C385" s="15" t="s">
        <v>953</v>
      </c>
      <c r="D385" s="15" t="s">
        <v>675</v>
      </c>
      <c r="E385" s="15" t="s">
        <v>676</v>
      </c>
      <c r="F385" s="15" t="s">
        <v>677</v>
      </c>
      <c r="G385" s="15" t="s">
        <v>678</v>
      </c>
      <c r="H385" s="15" t="s">
        <v>679</v>
      </c>
      <c r="I385" s="15" t="s">
        <v>954</v>
      </c>
      <c r="J385" s="14" t="s">
        <v>14</v>
      </c>
      <c r="K385" s="14" t="s">
        <v>14</v>
      </c>
      <c r="L385" s="14" t="s">
        <v>681</v>
      </c>
      <c r="M385" s="14"/>
      <c r="N385" s="15" t="s">
        <v>682</v>
      </c>
      <c r="O385" s="15" t="s">
        <v>4</v>
      </c>
      <c r="P385" s="16">
        <v>46320</v>
      </c>
    </row>
    <row r="386" spans="1:16" ht="108" customHeight="1">
      <c r="A386" s="14" t="s">
        <v>955</v>
      </c>
      <c r="B386" s="15" t="s">
        <v>21</v>
      </c>
      <c r="C386" s="15" t="s">
        <v>956</v>
      </c>
      <c r="D386" s="15" t="s">
        <v>675</v>
      </c>
      <c r="E386" s="15" t="s">
        <v>676</v>
      </c>
      <c r="F386" s="15" t="s">
        <v>677</v>
      </c>
      <c r="G386" s="15" t="s">
        <v>678</v>
      </c>
      <c r="H386" s="15" t="s">
        <v>856</v>
      </c>
      <c r="I386" s="15" t="s">
        <v>957</v>
      </c>
      <c r="J386" s="14" t="s">
        <v>14</v>
      </c>
      <c r="K386" s="14" t="s">
        <v>14</v>
      </c>
      <c r="L386" s="14" t="s">
        <v>681</v>
      </c>
      <c r="M386" s="14"/>
      <c r="N386" s="15" t="s">
        <v>682</v>
      </c>
      <c r="O386" s="15" t="s">
        <v>4</v>
      </c>
      <c r="P386" s="16">
        <v>46320</v>
      </c>
    </row>
    <row r="387" spans="1:16" ht="108" customHeight="1">
      <c r="A387" s="14" t="s">
        <v>958</v>
      </c>
      <c r="B387" s="15" t="s">
        <v>21</v>
      </c>
      <c r="C387" s="15" t="s">
        <v>959</v>
      </c>
      <c r="D387" s="15" t="s">
        <v>675</v>
      </c>
      <c r="E387" s="15" t="s">
        <v>676</v>
      </c>
      <c r="F387" s="15" t="s">
        <v>677</v>
      </c>
      <c r="G387" s="15" t="s">
        <v>678</v>
      </c>
      <c r="H387" s="15" t="s">
        <v>679</v>
      </c>
      <c r="I387" s="15" t="s">
        <v>960</v>
      </c>
      <c r="J387" s="14" t="s">
        <v>14</v>
      </c>
      <c r="K387" s="14" t="s">
        <v>14</v>
      </c>
      <c r="L387" s="14" t="s">
        <v>681</v>
      </c>
      <c r="M387" s="14"/>
      <c r="N387" s="15" t="s">
        <v>682</v>
      </c>
      <c r="O387" s="15" t="s">
        <v>4</v>
      </c>
      <c r="P387" s="16">
        <v>46320</v>
      </c>
    </row>
    <row r="388" spans="1:16" ht="108" customHeight="1">
      <c r="A388" s="14" t="s">
        <v>961</v>
      </c>
      <c r="B388" s="15" t="s">
        <v>21</v>
      </c>
      <c r="C388" s="15" t="s">
        <v>962</v>
      </c>
      <c r="D388" s="15" t="s">
        <v>675</v>
      </c>
      <c r="E388" s="15" t="s">
        <v>676</v>
      </c>
      <c r="F388" s="15" t="s">
        <v>677</v>
      </c>
      <c r="G388" s="15" t="s">
        <v>678</v>
      </c>
      <c r="H388" s="15" t="s">
        <v>856</v>
      </c>
      <c r="I388" s="15" t="s">
        <v>963</v>
      </c>
      <c r="J388" s="14" t="s">
        <v>14</v>
      </c>
      <c r="K388" s="14" t="s">
        <v>14</v>
      </c>
      <c r="L388" s="14" t="s">
        <v>681</v>
      </c>
      <c r="M388" s="14"/>
      <c r="N388" s="15" t="s">
        <v>682</v>
      </c>
      <c r="O388" s="15" t="s">
        <v>4</v>
      </c>
      <c r="P388" s="16">
        <v>46320</v>
      </c>
    </row>
    <row r="389" spans="1:16" ht="108" customHeight="1">
      <c r="A389" s="14" t="s">
        <v>964</v>
      </c>
      <c r="B389" s="15" t="s">
        <v>21</v>
      </c>
      <c r="C389" s="15" t="s">
        <v>965</v>
      </c>
      <c r="D389" s="15" t="s">
        <v>675</v>
      </c>
      <c r="E389" s="15" t="s">
        <v>676</v>
      </c>
      <c r="F389" s="15" t="s">
        <v>677</v>
      </c>
      <c r="G389" s="15" t="s">
        <v>678</v>
      </c>
      <c r="H389" s="15" t="s">
        <v>679</v>
      </c>
      <c r="I389" s="15" t="s">
        <v>966</v>
      </c>
      <c r="J389" s="14" t="s">
        <v>14</v>
      </c>
      <c r="K389" s="14" t="s">
        <v>14</v>
      </c>
      <c r="L389" s="14" t="s">
        <v>681</v>
      </c>
      <c r="M389" s="14"/>
      <c r="N389" s="15" t="s">
        <v>682</v>
      </c>
      <c r="O389" s="15" t="s">
        <v>4</v>
      </c>
      <c r="P389" s="16">
        <v>46320</v>
      </c>
    </row>
    <row r="390" spans="1:16" ht="108" customHeight="1">
      <c r="A390" s="14" t="s">
        <v>967</v>
      </c>
      <c r="B390" s="15" t="s">
        <v>21</v>
      </c>
      <c r="C390" s="15" t="s">
        <v>968</v>
      </c>
      <c r="D390" s="15" t="s">
        <v>675</v>
      </c>
      <c r="E390" s="15" t="s">
        <v>676</v>
      </c>
      <c r="F390" s="15" t="s">
        <v>677</v>
      </c>
      <c r="G390" s="15" t="s">
        <v>678</v>
      </c>
      <c r="H390" s="15" t="s">
        <v>856</v>
      </c>
      <c r="I390" s="15" t="s">
        <v>969</v>
      </c>
      <c r="J390" s="14" t="s">
        <v>14</v>
      </c>
      <c r="K390" s="14" t="s">
        <v>14</v>
      </c>
      <c r="L390" s="14" t="s">
        <v>681</v>
      </c>
      <c r="M390" s="14"/>
      <c r="N390" s="15" t="s">
        <v>682</v>
      </c>
      <c r="O390" s="15" t="s">
        <v>4</v>
      </c>
      <c r="P390" s="16">
        <v>46320</v>
      </c>
    </row>
    <row r="391" spans="1:16" ht="108" customHeight="1">
      <c r="A391" s="14" t="s">
        <v>970</v>
      </c>
      <c r="B391" s="15" t="s">
        <v>21</v>
      </c>
      <c r="C391" s="15" t="s">
        <v>971</v>
      </c>
      <c r="D391" s="15" t="s">
        <v>675</v>
      </c>
      <c r="E391" s="15" t="s">
        <v>676</v>
      </c>
      <c r="F391" s="15" t="s">
        <v>677</v>
      </c>
      <c r="G391" s="15" t="s">
        <v>678</v>
      </c>
      <c r="H391" s="15" t="s">
        <v>972</v>
      </c>
      <c r="I391" s="15" t="s">
        <v>973</v>
      </c>
      <c r="J391" s="14" t="s">
        <v>14</v>
      </c>
      <c r="K391" s="14" t="s">
        <v>14</v>
      </c>
      <c r="L391" s="14" t="s">
        <v>681</v>
      </c>
      <c r="M391" s="14"/>
      <c r="N391" s="15" t="s">
        <v>682</v>
      </c>
      <c r="O391" s="15" t="s">
        <v>4</v>
      </c>
      <c r="P391" s="16">
        <v>46320</v>
      </c>
    </row>
    <row r="392" spans="1:16" ht="108" customHeight="1">
      <c r="A392" s="14" t="s">
        <v>974</v>
      </c>
      <c r="B392" s="15" t="s">
        <v>21</v>
      </c>
      <c r="C392" s="15" t="s">
        <v>975</v>
      </c>
      <c r="D392" s="15" t="s">
        <v>675</v>
      </c>
      <c r="E392" s="15" t="s">
        <v>676</v>
      </c>
      <c r="F392" s="15" t="s">
        <v>677</v>
      </c>
      <c r="G392" s="15" t="s">
        <v>678</v>
      </c>
      <c r="H392" s="15" t="s">
        <v>976</v>
      </c>
      <c r="I392" s="15" t="s">
        <v>977</v>
      </c>
      <c r="J392" s="14" t="s">
        <v>14</v>
      </c>
      <c r="K392" s="14" t="s">
        <v>14</v>
      </c>
      <c r="L392" s="14" t="s">
        <v>681</v>
      </c>
      <c r="M392" s="14"/>
      <c r="N392" s="15" t="s">
        <v>682</v>
      </c>
      <c r="O392" s="15" t="s">
        <v>4</v>
      </c>
      <c r="P392" s="16">
        <v>46320</v>
      </c>
    </row>
    <row r="393" spans="1:16" ht="108" customHeight="1">
      <c r="A393" s="14" t="s">
        <v>978</v>
      </c>
      <c r="B393" s="15" t="s">
        <v>21</v>
      </c>
      <c r="C393" s="15" t="s">
        <v>975</v>
      </c>
      <c r="D393" s="15" t="s">
        <v>675</v>
      </c>
      <c r="E393" s="15" t="s">
        <v>676</v>
      </c>
      <c r="F393" s="15" t="s">
        <v>677</v>
      </c>
      <c r="G393" s="15" t="s">
        <v>678</v>
      </c>
      <c r="H393" s="15" t="s">
        <v>856</v>
      </c>
      <c r="I393" s="15" t="s">
        <v>977</v>
      </c>
      <c r="J393" s="14" t="s">
        <v>14</v>
      </c>
      <c r="K393" s="14" t="s">
        <v>14</v>
      </c>
      <c r="L393" s="14" t="s">
        <v>681</v>
      </c>
      <c r="M393" s="14"/>
      <c r="N393" s="15" t="s">
        <v>682</v>
      </c>
      <c r="O393" s="15" t="s">
        <v>4</v>
      </c>
      <c r="P393" s="16">
        <v>46320</v>
      </c>
    </row>
    <row r="394" spans="1:16" ht="108" customHeight="1">
      <c r="A394" s="14" t="s">
        <v>979</v>
      </c>
      <c r="B394" s="15" t="s">
        <v>21</v>
      </c>
      <c r="C394" s="15" t="s">
        <v>975</v>
      </c>
      <c r="D394" s="15" t="s">
        <v>675</v>
      </c>
      <c r="E394" s="15" t="s">
        <v>676</v>
      </c>
      <c r="F394" s="15" t="s">
        <v>677</v>
      </c>
      <c r="G394" s="15" t="s">
        <v>678</v>
      </c>
      <c r="H394" s="15" t="s">
        <v>976</v>
      </c>
      <c r="I394" s="15" t="s">
        <v>977</v>
      </c>
      <c r="J394" s="14" t="s">
        <v>14</v>
      </c>
      <c r="K394" s="14" t="s">
        <v>14</v>
      </c>
      <c r="L394" s="14" t="s">
        <v>681</v>
      </c>
      <c r="M394" s="14"/>
      <c r="N394" s="15" t="s">
        <v>682</v>
      </c>
      <c r="O394" s="15" t="s">
        <v>4</v>
      </c>
      <c r="P394" s="16">
        <v>46320</v>
      </c>
    </row>
    <row r="395" spans="1:16" ht="108" customHeight="1">
      <c r="A395" s="14" t="s">
        <v>980</v>
      </c>
      <c r="B395" s="15" t="s">
        <v>21</v>
      </c>
      <c r="C395" s="15" t="s">
        <v>975</v>
      </c>
      <c r="D395" s="15" t="s">
        <v>675</v>
      </c>
      <c r="E395" s="15" t="s">
        <v>676</v>
      </c>
      <c r="F395" s="15" t="s">
        <v>677</v>
      </c>
      <c r="G395" s="15" t="s">
        <v>678</v>
      </c>
      <c r="H395" s="15" t="s">
        <v>856</v>
      </c>
      <c r="I395" s="15" t="s">
        <v>977</v>
      </c>
      <c r="J395" s="14" t="s">
        <v>14</v>
      </c>
      <c r="K395" s="14" t="s">
        <v>14</v>
      </c>
      <c r="L395" s="14" t="s">
        <v>681</v>
      </c>
      <c r="M395" s="14"/>
      <c r="N395" s="15" t="s">
        <v>682</v>
      </c>
      <c r="O395" s="15" t="s">
        <v>4</v>
      </c>
      <c r="P395" s="16">
        <v>46320</v>
      </c>
    </row>
    <row r="396" spans="1:16" ht="108" customHeight="1">
      <c r="A396" s="14" t="s">
        <v>981</v>
      </c>
      <c r="B396" s="15" t="s">
        <v>21</v>
      </c>
      <c r="C396" s="15" t="s">
        <v>982</v>
      </c>
      <c r="D396" s="15" t="s">
        <v>675</v>
      </c>
      <c r="E396" s="15" t="s">
        <v>676</v>
      </c>
      <c r="F396" s="15" t="s">
        <v>677</v>
      </c>
      <c r="G396" s="15" t="s">
        <v>678</v>
      </c>
      <c r="H396" s="15" t="s">
        <v>983</v>
      </c>
      <c r="I396" s="15" t="s">
        <v>984</v>
      </c>
      <c r="J396" s="14" t="s">
        <v>14</v>
      </c>
      <c r="K396" s="14" t="s">
        <v>14</v>
      </c>
      <c r="L396" s="14" t="s">
        <v>681</v>
      </c>
      <c r="M396" s="14"/>
      <c r="N396" s="15" t="s">
        <v>682</v>
      </c>
      <c r="O396" s="15" t="s">
        <v>4</v>
      </c>
      <c r="P396" s="16">
        <v>46320</v>
      </c>
    </row>
    <row r="397" spans="1:16" ht="108" customHeight="1">
      <c r="A397" s="14" t="s">
        <v>985</v>
      </c>
      <c r="B397" s="15" t="s">
        <v>21</v>
      </c>
      <c r="C397" s="15" t="s">
        <v>975</v>
      </c>
      <c r="D397" s="15" t="s">
        <v>675</v>
      </c>
      <c r="E397" s="15" t="s">
        <v>676</v>
      </c>
      <c r="F397" s="15" t="s">
        <v>677</v>
      </c>
      <c r="G397" s="15" t="s">
        <v>678</v>
      </c>
      <c r="H397" s="15" t="s">
        <v>986</v>
      </c>
      <c r="I397" s="15" t="s">
        <v>977</v>
      </c>
      <c r="J397" s="14" t="s">
        <v>14</v>
      </c>
      <c r="K397" s="14" t="s">
        <v>14</v>
      </c>
      <c r="L397" s="14" t="s">
        <v>681</v>
      </c>
      <c r="M397" s="14"/>
      <c r="N397" s="15" t="s">
        <v>682</v>
      </c>
      <c r="O397" s="15" t="s">
        <v>4</v>
      </c>
      <c r="P397" s="16">
        <v>46320</v>
      </c>
    </row>
    <row r="398" spans="1:16" ht="108" customHeight="1">
      <c r="A398" s="14" t="s">
        <v>987</v>
      </c>
      <c r="B398" s="15" t="s">
        <v>21</v>
      </c>
      <c r="C398" s="15" t="s">
        <v>988</v>
      </c>
      <c r="D398" s="15" t="s">
        <v>675</v>
      </c>
      <c r="E398" s="15" t="s">
        <v>676</v>
      </c>
      <c r="F398" s="15" t="s">
        <v>677</v>
      </c>
      <c r="G398" s="15" t="s">
        <v>678</v>
      </c>
      <c r="H398" s="15" t="s">
        <v>679</v>
      </c>
      <c r="I398" s="15" t="s">
        <v>989</v>
      </c>
      <c r="J398" s="14" t="s">
        <v>14</v>
      </c>
      <c r="K398" s="14" t="s">
        <v>14</v>
      </c>
      <c r="L398" s="14" t="s">
        <v>681</v>
      </c>
      <c r="M398" s="14"/>
      <c r="N398" s="15" t="s">
        <v>682</v>
      </c>
      <c r="O398" s="15" t="s">
        <v>4</v>
      </c>
      <c r="P398" s="16">
        <v>46320</v>
      </c>
    </row>
    <row r="399" spans="1:16" ht="108" customHeight="1">
      <c r="A399" s="14" t="s">
        <v>990</v>
      </c>
      <c r="B399" s="15" t="s">
        <v>21</v>
      </c>
      <c r="C399" s="15" t="s">
        <v>991</v>
      </c>
      <c r="D399" s="15" t="s">
        <v>675</v>
      </c>
      <c r="E399" s="15" t="s">
        <v>676</v>
      </c>
      <c r="F399" s="15" t="s">
        <v>677</v>
      </c>
      <c r="G399" s="15" t="s">
        <v>678</v>
      </c>
      <c r="H399" s="15" t="s">
        <v>679</v>
      </c>
      <c r="I399" s="15" t="s">
        <v>992</v>
      </c>
      <c r="J399" s="14" t="s">
        <v>14</v>
      </c>
      <c r="K399" s="14" t="s">
        <v>14</v>
      </c>
      <c r="L399" s="14" t="s">
        <v>681</v>
      </c>
      <c r="M399" s="14"/>
      <c r="N399" s="15" t="s">
        <v>682</v>
      </c>
      <c r="O399" s="15" t="s">
        <v>4</v>
      </c>
      <c r="P399" s="16">
        <v>46320</v>
      </c>
    </row>
    <row r="400" spans="1:16" ht="108" customHeight="1">
      <c r="A400" s="14" t="s">
        <v>993</v>
      </c>
      <c r="B400" s="15" t="s">
        <v>21</v>
      </c>
      <c r="C400" s="15" t="s">
        <v>994</v>
      </c>
      <c r="D400" s="15" t="s">
        <v>675</v>
      </c>
      <c r="E400" s="15" t="s">
        <v>676</v>
      </c>
      <c r="F400" s="15" t="s">
        <v>677</v>
      </c>
      <c r="G400" s="15" t="s">
        <v>678</v>
      </c>
      <c r="H400" s="15" t="s">
        <v>679</v>
      </c>
      <c r="I400" s="15" t="s">
        <v>995</v>
      </c>
      <c r="J400" s="14" t="s">
        <v>14</v>
      </c>
      <c r="K400" s="14" t="s">
        <v>14</v>
      </c>
      <c r="L400" s="14" t="s">
        <v>681</v>
      </c>
      <c r="M400" s="14"/>
      <c r="N400" s="15" t="s">
        <v>682</v>
      </c>
      <c r="O400" s="15" t="s">
        <v>4</v>
      </c>
      <c r="P400" s="16">
        <v>46320</v>
      </c>
    </row>
    <row r="401" spans="1:16" ht="90" customHeight="1">
      <c r="A401" s="14" t="s">
        <v>996</v>
      </c>
      <c r="B401" s="15" t="s">
        <v>25</v>
      </c>
      <c r="C401" s="15" t="s">
        <v>997</v>
      </c>
      <c r="D401" s="15" t="s">
        <v>998</v>
      </c>
      <c r="E401" s="15" t="s">
        <v>999</v>
      </c>
      <c r="F401" s="15" t="s">
        <v>1000</v>
      </c>
      <c r="G401" s="15" t="s">
        <v>1001</v>
      </c>
      <c r="H401" s="15" t="s">
        <v>1002</v>
      </c>
      <c r="I401" s="15" t="s">
        <v>1003</v>
      </c>
      <c r="J401" s="14" t="s">
        <v>14</v>
      </c>
      <c r="K401" s="14" t="s">
        <v>14</v>
      </c>
      <c r="L401" s="14" t="s">
        <v>58</v>
      </c>
      <c r="M401" s="14"/>
      <c r="N401" s="15" t="s">
        <v>1004</v>
      </c>
      <c r="O401" s="15" t="s">
        <v>4</v>
      </c>
      <c r="P401" s="16">
        <v>46320</v>
      </c>
    </row>
    <row r="402" spans="1:16" ht="90" customHeight="1">
      <c r="A402" s="14" t="s">
        <v>1005</v>
      </c>
      <c r="B402" s="15" t="s">
        <v>25</v>
      </c>
      <c r="C402" s="15" t="s">
        <v>1006</v>
      </c>
      <c r="D402" s="15" t="s">
        <v>998</v>
      </c>
      <c r="E402" s="15" t="s">
        <v>999</v>
      </c>
      <c r="F402" s="15" t="s">
        <v>1000</v>
      </c>
      <c r="G402" s="15" t="s">
        <v>1001</v>
      </c>
      <c r="H402" s="15" t="s">
        <v>1007</v>
      </c>
      <c r="I402" s="15" t="s">
        <v>1008</v>
      </c>
      <c r="J402" s="14" t="s">
        <v>14</v>
      </c>
      <c r="K402" s="14" t="s">
        <v>14</v>
      </c>
      <c r="L402" s="14" t="s">
        <v>58</v>
      </c>
      <c r="M402" s="14"/>
      <c r="N402" s="15" t="s">
        <v>1004</v>
      </c>
      <c r="O402" s="15" t="s">
        <v>4</v>
      </c>
      <c r="P402" s="16">
        <v>46320</v>
      </c>
    </row>
    <row r="403" spans="1:16" ht="90" customHeight="1">
      <c r="A403" s="14" t="s">
        <v>1009</v>
      </c>
      <c r="B403" s="15" t="s">
        <v>25</v>
      </c>
      <c r="C403" s="15" t="s">
        <v>1010</v>
      </c>
      <c r="D403" s="15" t="s">
        <v>998</v>
      </c>
      <c r="E403" s="15" t="s">
        <v>999</v>
      </c>
      <c r="F403" s="15" t="s">
        <v>1000</v>
      </c>
      <c r="G403" s="15" t="s">
        <v>1001</v>
      </c>
      <c r="H403" s="15" t="s">
        <v>1011</v>
      </c>
      <c r="I403" s="15" t="s">
        <v>1012</v>
      </c>
      <c r="J403" s="14" t="s">
        <v>15</v>
      </c>
      <c r="K403" s="14" t="s">
        <v>15</v>
      </c>
      <c r="L403" s="14" t="s">
        <v>681</v>
      </c>
      <c r="M403" s="14" t="s">
        <v>1013</v>
      </c>
      <c r="N403" s="15" t="s">
        <v>1004</v>
      </c>
      <c r="O403" s="15" t="s">
        <v>4</v>
      </c>
      <c r="P403" s="16">
        <v>46320</v>
      </c>
    </row>
    <row r="404" spans="1:16" ht="90" customHeight="1">
      <c r="A404" s="14" t="s">
        <v>1014</v>
      </c>
      <c r="B404" s="15" t="s">
        <v>25</v>
      </c>
      <c r="C404" s="15" t="s">
        <v>1015</v>
      </c>
      <c r="D404" s="15" t="s">
        <v>998</v>
      </c>
      <c r="E404" s="15" t="s">
        <v>999</v>
      </c>
      <c r="F404" s="15" t="s">
        <v>1000</v>
      </c>
      <c r="G404" s="15" t="s">
        <v>1001</v>
      </c>
      <c r="H404" s="15" t="s">
        <v>1016</v>
      </c>
      <c r="I404" s="15" t="s">
        <v>1017</v>
      </c>
      <c r="J404" s="14" t="s">
        <v>15</v>
      </c>
      <c r="K404" s="14" t="s">
        <v>14</v>
      </c>
      <c r="L404" s="14" t="s">
        <v>58</v>
      </c>
      <c r="M404" s="14"/>
      <c r="N404" s="15" t="s">
        <v>1004</v>
      </c>
      <c r="O404" s="15" t="s">
        <v>4</v>
      </c>
      <c r="P404" s="16">
        <v>46320</v>
      </c>
    </row>
    <row r="405" spans="1:16" ht="90" customHeight="1">
      <c r="A405" s="14" t="s">
        <v>1018</v>
      </c>
      <c r="B405" s="15" t="s">
        <v>25</v>
      </c>
      <c r="C405" s="15" t="s">
        <v>1019</v>
      </c>
      <c r="D405" s="15" t="s">
        <v>998</v>
      </c>
      <c r="E405" s="15" t="s">
        <v>999</v>
      </c>
      <c r="F405" s="15" t="s">
        <v>1000</v>
      </c>
      <c r="G405" s="15" t="s">
        <v>1001</v>
      </c>
      <c r="H405" s="15" t="s">
        <v>1020</v>
      </c>
      <c r="I405" s="15" t="s">
        <v>1021</v>
      </c>
      <c r="J405" s="14" t="s">
        <v>14</v>
      </c>
      <c r="K405" s="14" t="s">
        <v>14</v>
      </c>
      <c r="L405" s="14" t="s">
        <v>58</v>
      </c>
      <c r="M405" s="14"/>
      <c r="N405" s="15" t="s">
        <v>1004</v>
      </c>
      <c r="O405" s="15" t="s">
        <v>4</v>
      </c>
      <c r="P405" s="16">
        <v>46320</v>
      </c>
    </row>
    <row r="406" spans="1:16" ht="90" customHeight="1">
      <c r="A406" s="14" t="s">
        <v>1022</v>
      </c>
      <c r="B406" s="15" t="s">
        <v>25</v>
      </c>
      <c r="C406" s="15" t="s">
        <v>1023</v>
      </c>
      <c r="D406" s="15" t="s">
        <v>998</v>
      </c>
      <c r="E406" s="15" t="s">
        <v>999</v>
      </c>
      <c r="F406" s="15" t="s">
        <v>1000</v>
      </c>
      <c r="G406" s="15" t="s">
        <v>1001</v>
      </c>
      <c r="H406" s="15" t="s">
        <v>1024</v>
      </c>
      <c r="I406" s="15" t="s">
        <v>1025</v>
      </c>
      <c r="J406" s="14" t="s">
        <v>14</v>
      </c>
      <c r="K406" s="14" t="s">
        <v>15</v>
      </c>
      <c r="L406" s="14" t="s">
        <v>58</v>
      </c>
      <c r="M406" s="14" t="s">
        <v>1026</v>
      </c>
      <c r="N406" s="15" t="s">
        <v>1004</v>
      </c>
      <c r="O406" s="15" t="s">
        <v>4</v>
      </c>
      <c r="P406" s="16">
        <v>46320</v>
      </c>
    </row>
    <row r="407" spans="1:16" ht="90" customHeight="1">
      <c r="A407" s="14" t="s">
        <v>1027</v>
      </c>
      <c r="B407" s="15" t="s">
        <v>25</v>
      </c>
      <c r="C407" s="15" t="s">
        <v>1028</v>
      </c>
      <c r="D407" s="15" t="s">
        <v>998</v>
      </c>
      <c r="E407" s="15" t="s">
        <v>999</v>
      </c>
      <c r="F407" s="15" t="s">
        <v>1000</v>
      </c>
      <c r="G407" s="15" t="s">
        <v>1001</v>
      </c>
      <c r="H407" s="15" t="s">
        <v>1029</v>
      </c>
      <c r="I407" s="15" t="s">
        <v>1030</v>
      </c>
      <c r="J407" s="14" t="s">
        <v>14</v>
      </c>
      <c r="K407" s="14" t="s">
        <v>14</v>
      </c>
      <c r="L407" s="14" t="s">
        <v>58</v>
      </c>
      <c r="M407" s="14"/>
      <c r="N407" s="15" t="s">
        <v>1004</v>
      </c>
      <c r="O407" s="15" t="s">
        <v>4</v>
      </c>
      <c r="P407" s="16">
        <v>46320</v>
      </c>
    </row>
    <row r="408" spans="1:16" ht="90" customHeight="1">
      <c r="A408" s="14" t="s">
        <v>1031</v>
      </c>
      <c r="B408" s="15" t="s">
        <v>25</v>
      </c>
      <c r="C408" s="15" t="s">
        <v>1032</v>
      </c>
      <c r="D408" s="15" t="s">
        <v>998</v>
      </c>
      <c r="E408" s="15" t="s">
        <v>999</v>
      </c>
      <c r="F408" s="15" t="s">
        <v>1000</v>
      </c>
      <c r="G408" s="15" t="s">
        <v>1001</v>
      </c>
      <c r="H408" s="15" t="s">
        <v>856</v>
      </c>
      <c r="I408" s="15" t="s">
        <v>1033</v>
      </c>
      <c r="J408" s="14" t="s">
        <v>14</v>
      </c>
      <c r="K408" s="14" t="s">
        <v>14</v>
      </c>
      <c r="L408" s="14" t="s">
        <v>58</v>
      </c>
      <c r="M408" s="14"/>
      <c r="N408" s="15" t="s">
        <v>1004</v>
      </c>
      <c r="O408" s="15" t="s">
        <v>4</v>
      </c>
      <c r="P408" s="16">
        <v>46320</v>
      </c>
    </row>
    <row r="409" spans="1:16" ht="90" customHeight="1">
      <c r="A409" s="14" t="s">
        <v>1034</v>
      </c>
      <c r="B409" s="15" t="s">
        <v>25</v>
      </c>
      <c r="C409" s="15" t="s">
        <v>1035</v>
      </c>
      <c r="D409" s="15" t="s">
        <v>998</v>
      </c>
      <c r="E409" s="15" t="s">
        <v>999</v>
      </c>
      <c r="F409" s="15" t="s">
        <v>1000</v>
      </c>
      <c r="G409" s="15" t="s">
        <v>1001</v>
      </c>
      <c r="H409" s="15" t="s">
        <v>679</v>
      </c>
      <c r="I409" s="15" t="s">
        <v>1036</v>
      </c>
      <c r="J409" s="14" t="s">
        <v>14</v>
      </c>
      <c r="K409" s="14" t="s">
        <v>14</v>
      </c>
      <c r="L409" s="14" t="s">
        <v>58</v>
      </c>
      <c r="M409" s="14"/>
      <c r="N409" s="15" t="s">
        <v>1004</v>
      </c>
      <c r="O409" s="15" t="s">
        <v>4</v>
      </c>
      <c r="P409" s="16">
        <v>46320</v>
      </c>
    </row>
    <row r="410" spans="1:16" ht="90" customHeight="1">
      <c r="A410" s="14" t="s">
        <v>1037</v>
      </c>
      <c r="B410" s="15" t="s">
        <v>25</v>
      </c>
      <c r="C410" s="15" t="s">
        <v>1038</v>
      </c>
      <c r="D410" s="15" t="s">
        <v>998</v>
      </c>
      <c r="E410" s="15" t="s">
        <v>999</v>
      </c>
      <c r="F410" s="15" t="s">
        <v>1000</v>
      </c>
      <c r="G410" s="15" t="s">
        <v>1001</v>
      </c>
      <c r="H410" s="15" t="s">
        <v>679</v>
      </c>
      <c r="I410" s="15" t="s">
        <v>1036</v>
      </c>
      <c r="J410" s="14" t="s">
        <v>14</v>
      </c>
      <c r="K410" s="14" t="s">
        <v>14</v>
      </c>
      <c r="L410" s="14" t="s">
        <v>58</v>
      </c>
      <c r="M410" s="14"/>
      <c r="N410" s="15" t="s">
        <v>1004</v>
      </c>
      <c r="O410" s="15" t="s">
        <v>4</v>
      </c>
      <c r="P410" s="16">
        <v>46320</v>
      </c>
    </row>
    <row r="411" spans="1:16" ht="90" customHeight="1">
      <c r="A411" s="14" t="s">
        <v>1039</v>
      </c>
      <c r="B411" s="15" t="s">
        <v>25</v>
      </c>
      <c r="C411" s="15" t="s">
        <v>1040</v>
      </c>
      <c r="D411" s="15" t="s">
        <v>998</v>
      </c>
      <c r="E411" s="15" t="s">
        <v>999</v>
      </c>
      <c r="F411" s="15" t="s">
        <v>1000</v>
      </c>
      <c r="G411" s="15" t="s">
        <v>1001</v>
      </c>
      <c r="H411" s="15" t="s">
        <v>679</v>
      </c>
      <c r="I411" s="15" t="s">
        <v>1036</v>
      </c>
      <c r="J411" s="14" t="s">
        <v>14</v>
      </c>
      <c r="K411" s="14" t="s">
        <v>14</v>
      </c>
      <c r="L411" s="14" t="s">
        <v>58</v>
      </c>
      <c r="M411" s="14"/>
      <c r="N411" s="15" t="s">
        <v>1004</v>
      </c>
      <c r="O411" s="15" t="s">
        <v>4</v>
      </c>
      <c r="P411" s="16">
        <v>46320</v>
      </c>
    </row>
    <row r="412" spans="1:16" ht="90" customHeight="1">
      <c r="A412" s="14" t="s">
        <v>1041</v>
      </c>
      <c r="B412" s="15" t="s">
        <v>25</v>
      </c>
      <c r="C412" s="15" t="s">
        <v>1042</v>
      </c>
      <c r="D412" s="15" t="s">
        <v>998</v>
      </c>
      <c r="E412" s="15" t="s">
        <v>999</v>
      </c>
      <c r="F412" s="15" t="s">
        <v>1000</v>
      </c>
      <c r="G412" s="15" t="s">
        <v>1001</v>
      </c>
      <c r="H412" s="15" t="s">
        <v>679</v>
      </c>
      <c r="I412" s="15" t="s">
        <v>1036</v>
      </c>
      <c r="J412" s="14" t="s">
        <v>14</v>
      </c>
      <c r="K412" s="14" t="s">
        <v>14</v>
      </c>
      <c r="L412" s="14" t="s">
        <v>58</v>
      </c>
      <c r="M412" s="14"/>
      <c r="N412" s="15" t="s">
        <v>1004</v>
      </c>
      <c r="O412" s="15" t="s">
        <v>4</v>
      </c>
      <c r="P412" s="16">
        <v>46320</v>
      </c>
    </row>
    <row r="413" spans="1:16" ht="90" customHeight="1">
      <c r="A413" s="14" t="s">
        <v>1043</v>
      </c>
      <c r="B413" s="15" t="s">
        <v>25</v>
      </c>
      <c r="C413" s="15" t="s">
        <v>1044</v>
      </c>
      <c r="D413" s="15" t="s">
        <v>998</v>
      </c>
      <c r="E413" s="15" t="s">
        <v>999</v>
      </c>
      <c r="F413" s="15" t="s">
        <v>1000</v>
      </c>
      <c r="G413" s="15" t="s">
        <v>1001</v>
      </c>
      <c r="H413" s="15" t="s">
        <v>1045</v>
      </c>
      <c r="I413" s="15" t="s">
        <v>1046</v>
      </c>
      <c r="J413" s="14" t="s">
        <v>14</v>
      </c>
      <c r="K413" s="14" t="s">
        <v>14</v>
      </c>
      <c r="L413" s="14" t="s">
        <v>58</v>
      </c>
      <c r="M413" s="14"/>
      <c r="N413" s="15" t="s">
        <v>1004</v>
      </c>
      <c r="O413" s="15" t="s">
        <v>4</v>
      </c>
      <c r="P413" s="16">
        <v>46320</v>
      </c>
    </row>
    <row r="414" spans="1:16" ht="90" customHeight="1">
      <c r="A414" s="14" t="s">
        <v>1047</v>
      </c>
      <c r="B414" s="15" t="s">
        <v>25</v>
      </c>
      <c r="C414" s="15" t="s">
        <v>1048</v>
      </c>
      <c r="D414" s="15" t="s">
        <v>998</v>
      </c>
      <c r="E414" s="15" t="s">
        <v>999</v>
      </c>
      <c r="F414" s="15" t="s">
        <v>1000</v>
      </c>
      <c r="G414" s="15" t="s">
        <v>1001</v>
      </c>
      <c r="H414" s="15" t="s">
        <v>856</v>
      </c>
      <c r="I414" s="15" t="s">
        <v>1033</v>
      </c>
      <c r="J414" s="14" t="s">
        <v>14</v>
      </c>
      <c r="K414" s="14" t="s">
        <v>14</v>
      </c>
      <c r="L414" s="14" t="s">
        <v>58</v>
      </c>
      <c r="M414" s="14"/>
      <c r="N414" s="15" t="s">
        <v>1004</v>
      </c>
      <c r="O414" s="15" t="s">
        <v>4</v>
      </c>
      <c r="P414" s="16">
        <v>46320</v>
      </c>
    </row>
    <row r="415" spans="1:16" ht="90" customHeight="1">
      <c r="A415" s="14" t="s">
        <v>1049</v>
      </c>
      <c r="B415" s="15" t="s">
        <v>25</v>
      </c>
      <c r="C415" s="15" t="s">
        <v>1050</v>
      </c>
      <c r="D415" s="15" t="s">
        <v>998</v>
      </c>
      <c r="E415" s="15" t="s">
        <v>999</v>
      </c>
      <c r="F415" s="15" t="s">
        <v>1000</v>
      </c>
      <c r="G415" s="15" t="s">
        <v>1001</v>
      </c>
      <c r="H415" s="15" t="s">
        <v>1051</v>
      </c>
      <c r="I415" s="15" t="s">
        <v>1052</v>
      </c>
      <c r="J415" s="14" t="s">
        <v>14</v>
      </c>
      <c r="K415" s="14" t="s">
        <v>14</v>
      </c>
      <c r="L415" s="14" t="s">
        <v>58</v>
      </c>
      <c r="M415" s="14"/>
      <c r="N415" s="15" t="s">
        <v>1004</v>
      </c>
      <c r="O415" s="15" t="s">
        <v>4</v>
      </c>
      <c r="P415" s="16">
        <v>46320</v>
      </c>
    </row>
    <row r="416" spans="1:16" ht="90" customHeight="1">
      <c r="A416" s="14" t="s">
        <v>1053</v>
      </c>
      <c r="B416" s="15" t="s">
        <v>25</v>
      </c>
      <c r="C416" s="15" t="s">
        <v>1054</v>
      </c>
      <c r="D416" s="15" t="s">
        <v>998</v>
      </c>
      <c r="E416" s="15" t="s">
        <v>999</v>
      </c>
      <c r="F416" s="15" t="s">
        <v>1000</v>
      </c>
      <c r="G416" s="15" t="s">
        <v>1001</v>
      </c>
      <c r="H416" s="15" t="s">
        <v>1055</v>
      </c>
      <c r="I416" s="15" t="s">
        <v>1056</v>
      </c>
      <c r="J416" s="14" t="s">
        <v>14</v>
      </c>
      <c r="K416" s="14" t="s">
        <v>14</v>
      </c>
      <c r="L416" s="14" t="s">
        <v>58</v>
      </c>
      <c r="M416" s="14"/>
      <c r="N416" s="15" t="s">
        <v>1004</v>
      </c>
      <c r="O416" s="15" t="s">
        <v>4</v>
      </c>
      <c r="P416" s="16">
        <v>46320</v>
      </c>
    </row>
    <row r="417" spans="1:16" ht="90" customHeight="1">
      <c r="A417" s="14" t="s">
        <v>1057</v>
      </c>
      <c r="B417" s="15" t="s">
        <v>25</v>
      </c>
      <c r="C417" s="15" t="s">
        <v>1058</v>
      </c>
      <c r="D417" s="15" t="s">
        <v>998</v>
      </c>
      <c r="E417" s="15" t="s">
        <v>999</v>
      </c>
      <c r="F417" s="15" t="s">
        <v>1000</v>
      </c>
      <c r="G417" s="15" t="s">
        <v>1001</v>
      </c>
      <c r="H417" s="15" t="s">
        <v>1059</v>
      </c>
      <c r="I417" s="15" t="s">
        <v>1060</v>
      </c>
      <c r="J417" s="14" t="s">
        <v>14</v>
      </c>
      <c r="K417" s="14" t="s">
        <v>14</v>
      </c>
      <c r="L417" s="14" t="s">
        <v>58</v>
      </c>
      <c r="M417" s="14"/>
      <c r="N417" s="15" t="s">
        <v>1004</v>
      </c>
      <c r="O417" s="15" t="s">
        <v>4</v>
      </c>
      <c r="P417" s="16">
        <v>46320</v>
      </c>
    </row>
    <row r="418" spans="1:16" ht="90" customHeight="1">
      <c r="A418" s="14" t="s">
        <v>1061</v>
      </c>
      <c r="B418" s="15" t="s">
        <v>25</v>
      </c>
      <c r="C418" s="15" t="s">
        <v>1062</v>
      </c>
      <c r="D418" s="15" t="s">
        <v>998</v>
      </c>
      <c r="E418" s="15" t="s">
        <v>999</v>
      </c>
      <c r="F418" s="15" t="s">
        <v>1000</v>
      </c>
      <c r="G418" s="15" t="s">
        <v>1001</v>
      </c>
      <c r="H418" s="15" t="s">
        <v>1063</v>
      </c>
      <c r="I418" s="15" t="s">
        <v>1064</v>
      </c>
      <c r="J418" s="14" t="s">
        <v>14</v>
      </c>
      <c r="K418" s="14" t="s">
        <v>14</v>
      </c>
      <c r="L418" s="14" t="s">
        <v>58</v>
      </c>
      <c r="M418" s="14"/>
      <c r="N418" s="15" t="s">
        <v>1004</v>
      </c>
      <c r="O418" s="15" t="s">
        <v>4</v>
      </c>
      <c r="P418" s="16">
        <v>46320</v>
      </c>
    </row>
    <row r="419" spans="1:16" ht="90" customHeight="1">
      <c r="A419" s="14" t="s">
        <v>1065</v>
      </c>
      <c r="B419" s="15" t="s">
        <v>25</v>
      </c>
      <c r="C419" s="15" t="s">
        <v>1066</v>
      </c>
      <c r="D419" s="15" t="s">
        <v>998</v>
      </c>
      <c r="E419" s="15" t="s">
        <v>999</v>
      </c>
      <c r="F419" s="15" t="s">
        <v>1000</v>
      </c>
      <c r="G419" s="15" t="s">
        <v>1001</v>
      </c>
      <c r="H419" s="15" t="s">
        <v>1067</v>
      </c>
      <c r="I419" s="15" t="s">
        <v>1068</v>
      </c>
      <c r="J419" s="14" t="s">
        <v>14</v>
      </c>
      <c r="K419" s="14" t="s">
        <v>15</v>
      </c>
      <c r="L419" s="14" t="s">
        <v>58</v>
      </c>
      <c r="M419" s="14" t="s">
        <v>1069</v>
      </c>
      <c r="N419" s="15" t="s">
        <v>1004</v>
      </c>
      <c r="O419" s="15" t="s">
        <v>4</v>
      </c>
      <c r="P419" s="16">
        <v>46320</v>
      </c>
    </row>
    <row r="420" spans="1:16" ht="90" customHeight="1">
      <c r="A420" s="14" t="s">
        <v>1070</v>
      </c>
      <c r="B420" s="15" t="s">
        <v>25</v>
      </c>
      <c r="C420" s="15" t="s">
        <v>1071</v>
      </c>
      <c r="D420" s="15" t="s">
        <v>998</v>
      </c>
      <c r="E420" s="15" t="s">
        <v>999</v>
      </c>
      <c r="F420" s="15" t="s">
        <v>1000</v>
      </c>
      <c r="G420" s="15" t="s">
        <v>1001</v>
      </c>
      <c r="H420" s="15" t="s">
        <v>1072</v>
      </c>
      <c r="I420" s="15" t="s">
        <v>1073</v>
      </c>
      <c r="J420" s="14" t="s">
        <v>14</v>
      </c>
      <c r="K420" s="14" t="s">
        <v>14</v>
      </c>
      <c r="L420" s="14" t="s">
        <v>58</v>
      </c>
      <c r="M420" s="14"/>
      <c r="N420" s="15" t="s">
        <v>1004</v>
      </c>
      <c r="O420" s="15" t="s">
        <v>4</v>
      </c>
      <c r="P420" s="16">
        <v>46320</v>
      </c>
    </row>
    <row r="421" spans="1:16" ht="90" customHeight="1">
      <c r="A421" s="14" t="s">
        <v>1074</v>
      </c>
      <c r="B421" s="15" t="s">
        <v>25</v>
      </c>
      <c r="C421" s="15" t="s">
        <v>1075</v>
      </c>
      <c r="D421" s="15" t="s">
        <v>998</v>
      </c>
      <c r="E421" s="15" t="s">
        <v>999</v>
      </c>
      <c r="F421" s="15" t="s">
        <v>1000</v>
      </c>
      <c r="G421" s="15" t="s">
        <v>1001</v>
      </c>
      <c r="H421" s="15" t="s">
        <v>1076</v>
      </c>
      <c r="I421" s="15" t="s">
        <v>1077</v>
      </c>
      <c r="J421" s="14" t="s">
        <v>14</v>
      </c>
      <c r="K421" s="14" t="s">
        <v>14</v>
      </c>
      <c r="L421" s="14" t="s">
        <v>58</v>
      </c>
      <c r="M421" s="14"/>
      <c r="N421" s="15" t="s">
        <v>1004</v>
      </c>
      <c r="O421" s="15" t="s">
        <v>4</v>
      </c>
      <c r="P421" s="16">
        <v>46320</v>
      </c>
    </row>
    <row r="422" spans="1:16" ht="72" customHeight="1">
      <c r="A422" s="14" t="s">
        <v>1078</v>
      </c>
      <c r="B422" s="15" t="s">
        <v>23</v>
      </c>
      <c r="C422" s="15" t="s">
        <v>1079</v>
      </c>
      <c r="D422" s="15" t="s">
        <v>1080</v>
      </c>
      <c r="E422" s="15" t="s">
        <v>1081</v>
      </c>
      <c r="F422" s="15" t="s">
        <v>55</v>
      </c>
      <c r="G422" s="15" t="s">
        <v>1082</v>
      </c>
      <c r="H422" s="15" t="s">
        <v>1079</v>
      </c>
      <c r="I422" s="15" t="s">
        <v>1083</v>
      </c>
      <c r="J422" s="14" t="s">
        <v>14</v>
      </c>
      <c r="K422" s="14" t="s">
        <v>14</v>
      </c>
      <c r="L422" s="14" t="s">
        <v>681</v>
      </c>
      <c r="M422" s="14"/>
      <c r="N422" s="15" t="s">
        <v>353</v>
      </c>
      <c r="O422" s="15" t="s">
        <v>4</v>
      </c>
      <c r="P422" s="16">
        <v>46320</v>
      </c>
    </row>
    <row r="423" spans="1:16" ht="72" customHeight="1">
      <c r="A423" s="14" t="s">
        <v>1084</v>
      </c>
      <c r="B423" s="15" t="s">
        <v>23</v>
      </c>
      <c r="C423" s="15" t="s">
        <v>1085</v>
      </c>
      <c r="D423" s="15" t="s">
        <v>1080</v>
      </c>
      <c r="E423" s="15" t="s">
        <v>1081</v>
      </c>
      <c r="F423" s="15" t="s">
        <v>55</v>
      </c>
      <c r="G423" s="15" t="s">
        <v>1082</v>
      </c>
      <c r="H423" s="15" t="s">
        <v>1085</v>
      </c>
      <c r="I423" s="15" t="s">
        <v>1083</v>
      </c>
      <c r="J423" s="14" t="s">
        <v>14</v>
      </c>
      <c r="K423" s="14" t="s">
        <v>14</v>
      </c>
      <c r="L423" s="14" t="s">
        <v>681</v>
      </c>
      <c r="M423" s="14"/>
      <c r="N423" s="15" t="s">
        <v>353</v>
      </c>
      <c r="O423" s="15" t="s">
        <v>4</v>
      </c>
      <c r="P423" s="16">
        <v>46320</v>
      </c>
    </row>
    <row r="424" spans="1:16" ht="72" customHeight="1">
      <c r="A424" s="14" t="s">
        <v>1086</v>
      </c>
      <c r="B424" s="15" t="s">
        <v>23</v>
      </c>
      <c r="C424" s="15" t="s">
        <v>1087</v>
      </c>
      <c r="D424" s="15" t="s">
        <v>1080</v>
      </c>
      <c r="E424" s="15" t="s">
        <v>1081</v>
      </c>
      <c r="F424" s="15" t="s">
        <v>55</v>
      </c>
      <c r="G424" s="15" t="s">
        <v>1082</v>
      </c>
      <c r="H424" s="15" t="s">
        <v>1087</v>
      </c>
      <c r="I424" s="15" t="s">
        <v>1083</v>
      </c>
      <c r="J424" s="14" t="s">
        <v>14</v>
      </c>
      <c r="K424" s="14" t="s">
        <v>14</v>
      </c>
      <c r="L424" s="14" t="s">
        <v>681</v>
      </c>
      <c r="M424" s="14"/>
      <c r="N424" s="15" t="s">
        <v>353</v>
      </c>
      <c r="O424" s="15" t="s">
        <v>4</v>
      </c>
      <c r="P424" s="16">
        <v>46320</v>
      </c>
    </row>
    <row r="425" spans="1:16" ht="90" customHeight="1">
      <c r="A425" s="14" t="s">
        <v>1088</v>
      </c>
      <c r="B425" s="15" t="s">
        <v>26</v>
      </c>
      <c r="C425" s="15" t="s">
        <v>1089</v>
      </c>
      <c r="D425" s="15" t="s">
        <v>1090</v>
      </c>
      <c r="E425" s="15" t="s">
        <v>1091</v>
      </c>
      <c r="F425" s="15" t="s">
        <v>1092</v>
      </c>
      <c r="G425" s="15" t="s">
        <v>1093</v>
      </c>
      <c r="H425" s="15" t="s">
        <v>1094</v>
      </c>
      <c r="I425" s="15" t="s">
        <v>1095</v>
      </c>
      <c r="J425" s="14" t="s">
        <v>14</v>
      </c>
      <c r="K425" s="14" t="s">
        <v>14</v>
      </c>
      <c r="L425" s="14" t="s">
        <v>58</v>
      </c>
      <c r="M425" s="14"/>
      <c r="N425" s="15" t="s">
        <v>1096</v>
      </c>
      <c r="O425" s="15" t="s">
        <v>4</v>
      </c>
      <c r="P425" s="16">
        <v>46320</v>
      </c>
    </row>
    <row r="426" spans="1:16" ht="108" customHeight="1">
      <c r="A426" s="14" t="s">
        <v>1097</v>
      </c>
      <c r="B426" s="15" t="s">
        <v>26</v>
      </c>
      <c r="C426" s="15" t="s">
        <v>1098</v>
      </c>
      <c r="D426" s="15" t="s">
        <v>1090</v>
      </c>
      <c r="E426" s="15" t="s">
        <v>1091</v>
      </c>
      <c r="F426" s="15" t="s">
        <v>1099</v>
      </c>
      <c r="G426" s="15" t="s">
        <v>1093</v>
      </c>
      <c r="H426" s="15" t="s">
        <v>1094</v>
      </c>
      <c r="I426" s="15" t="s">
        <v>1095</v>
      </c>
      <c r="J426" s="14" t="s">
        <v>14</v>
      </c>
      <c r="K426" s="14" t="s">
        <v>14</v>
      </c>
      <c r="L426" s="14" t="s">
        <v>58</v>
      </c>
      <c r="M426" s="14"/>
      <c r="N426" s="15" t="s">
        <v>1100</v>
      </c>
      <c r="O426" s="15" t="s">
        <v>4</v>
      </c>
      <c r="P426" s="16">
        <v>46320</v>
      </c>
    </row>
    <row r="427" spans="1:16" ht="108" customHeight="1">
      <c r="A427" s="14" t="s">
        <v>1101</v>
      </c>
      <c r="B427" s="15" t="s">
        <v>26</v>
      </c>
      <c r="C427" s="15" t="s">
        <v>1102</v>
      </c>
      <c r="D427" s="15" t="s">
        <v>1090</v>
      </c>
      <c r="E427" s="15" t="s">
        <v>1091</v>
      </c>
      <c r="F427" s="15" t="s">
        <v>1103</v>
      </c>
      <c r="G427" s="15" t="s">
        <v>1093</v>
      </c>
      <c r="H427" s="15" t="s">
        <v>1094</v>
      </c>
      <c r="I427" s="15" t="s">
        <v>1095</v>
      </c>
      <c r="J427" s="14" t="s">
        <v>14</v>
      </c>
      <c r="K427" s="14" t="s">
        <v>14</v>
      </c>
      <c r="L427" s="14" t="s">
        <v>58</v>
      </c>
      <c r="M427" s="14"/>
      <c r="N427" s="15" t="s">
        <v>1104</v>
      </c>
      <c r="O427" s="15" t="s">
        <v>4</v>
      </c>
      <c r="P427" s="16">
        <v>46320</v>
      </c>
    </row>
    <row r="428" spans="1:16" ht="90" customHeight="1">
      <c r="A428" s="14" t="s">
        <v>1105</v>
      </c>
      <c r="B428" s="15" t="s">
        <v>26</v>
      </c>
      <c r="C428" s="15" t="s">
        <v>1106</v>
      </c>
      <c r="D428" s="15" t="s">
        <v>1090</v>
      </c>
      <c r="E428" s="15" t="s">
        <v>1091</v>
      </c>
      <c r="F428" s="15" t="s">
        <v>1107</v>
      </c>
      <c r="G428" s="15" t="s">
        <v>1093</v>
      </c>
      <c r="H428" s="15" t="s">
        <v>1108</v>
      </c>
      <c r="I428" s="15" t="s">
        <v>1109</v>
      </c>
      <c r="J428" s="14" t="s">
        <v>14</v>
      </c>
      <c r="K428" s="14" t="s">
        <v>15</v>
      </c>
      <c r="L428" s="14" t="s">
        <v>681</v>
      </c>
      <c r="M428" s="14" t="s">
        <v>1110</v>
      </c>
      <c r="N428" s="15" t="s">
        <v>1111</v>
      </c>
      <c r="O428" s="15" t="s">
        <v>4</v>
      </c>
      <c r="P428" s="16">
        <v>46320</v>
      </c>
    </row>
    <row r="429" spans="1:16" ht="108" customHeight="1">
      <c r="A429" s="14" t="s">
        <v>1112</v>
      </c>
      <c r="B429" s="15" t="s">
        <v>26</v>
      </c>
      <c r="C429" s="15" t="s">
        <v>1113</v>
      </c>
      <c r="D429" s="15" t="s">
        <v>1090</v>
      </c>
      <c r="E429" s="15" t="s">
        <v>1091</v>
      </c>
      <c r="F429" s="15" t="s">
        <v>1114</v>
      </c>
      <c r="G429" s="15" t="s">
        <v>1093</v>
      </c>
      <c r="H429" s="15" t="s">
        <v>1108</v>
      </c>
      <c r="I429" s="15" t="s">
        <v>1109</v>
      </c>
      <c r="J429" s="14" t="s">
        <v>14</v>
      </c>
      <c r="K429" s="14" t="s">
        <v>14</v>
      </c>
      <c r="L429" s="14" t="s">
        <v>58</v>
      </c>
      <c r="M429" s="14"/>
      <c r="N429" s="15" t="s">
        <v>1115</v>
      </c>
      <c r="O429" s="15" t="s">
        <v>4</v>
      </c>
      <c r="P429" s="16">
        <v>46320</v>
      </c>
    </row>
    <row r="430" spans="1:16" ht="90" customHeight="1">
      <c r="A430" s="14" t="s">
        <v>1116</v>
      </c>
      <c r="B430" s="15" t="s">
        <v>27</v>
      </c>
      <c r="C430" s="15" t="s">
        <v>1117</v>
      </c>
      <c r="D430" s="15" t="s">
        <v>1118</v>
      </c>
      <c r="E430" s="15" t="s">
        <v>1119</v>
      </c>
      <c r="F430" s="15" t="s">
        <v>1120</v>
      </c>
      <c r="G430" s="15" t="s">
        <v>1121</v>
      </c>
      <c r="H430" s="15" t="s">
        <v>1117</v>
      </c>
      <c r="I430" s="15" t="s">
        <v>1122</v>
      </c>
      <c r="J430" s="14" t="s">
        <v>17</v>
      </c>
      <c r="K430" s="14" t="s">
        <v>17</v>
      </c>
      <c r="L430" s="14" t="s">
        <v>58</v>
      </c>
      <c r="M430" s="14"/>
      <c r="N430" s="15" t="s">
        <v>1123</v>
      </c>
      <c r="O430" s="15" t="s">
        <v>4</v>
      </c>
      <c r="P430" s="16">
        <v>46320</v>
      </c>
    </row>
    <row r="431" spans="1:16" ht="72" customHeight="1">
      <c r="A431" s="14" t="s">
        <v>1124</v>
      </c>
      <c r="B431" s="15" t="s">
        <v>27</v>
      </c>
      <c r="C431" s="15" t="s">
        <v>1125</v>
      </c>
      <c r="D431" s="15" t="s">
        <v>1118</v>
      </c>
      <c r="E431" s="15" t="s">
        <v>1126</v>
      </c>
      <c r="F431" s="15" t="s">
        <v>1120</v>
      </c>
      <c r="G431" s="15" t="s">
        <v>1121</v>
      </c>
      <c r="H431" s="15" t="s">
        <v>1125</v>
      </c>
      <c r="I431" s="15" t="s">
        <v>1127</v>
      </c>
      <c r="J431" s="14" t="s">
        <v>17</v>
      </c>
      <c r="K431" s="14" t="s">
        <v>17</v>
      </c>
      <c r="L431" s="14" t="s">
        <v>58</v>
      </c>
      <c r="M431" s="14"/>
      <c r="N431" s="15" t="s">
        <v>1123</v>
      </c>
      <c r="O431" s="15" t="s">
        <v>4</v>
      </c>
      <c r="P431" s="16">
        <v>46320</v>
      </c>
    </row>
    <row r="432" spans="1:16" ht="90" customHeight="1">
      <c r="A432" s="14" t="s">
        <v>1128</v>
      </c>
      <c r="B432" s="15" t="s">
        <v>27</v>
      </c>
      <c r="C432" s="15" t="s">
        <v>1129</v>
      </c>
      <c r="D432" s="15" t="s">
        <v>1118</v>
      </c>
      <c r="E432" s="15" t="s">
        <v>1130</v>
      </c>
      <c r="F432" s="15" t="s">
        <v>1120</v>
      </c>
      <c r="G432" s="15" t="s">
        <v>1121</v>
      </c>
      <c r="H432" s="15" t="s">
        <v>1129</v>
      </c>
      <c r="I432" s="15" t="s">
        <v>1131</v>
      </c>
      <c r="J432" s="14" t="s">
        <v>17</v>
      </c>
      <c r="K432" s="14" t="s">
        <v>17</v>
      </c>
      <c r="L432" s="14" t="s">
        <v>58</v>
      </c>
      <c r="M432" s="14"/>
      <c r="N432" s="15" t="s">
        <v>1123</v>
      </c>
      <c r="O432" s="15" t="s">
        <v>4</v>
      </c>
      <c r="P432" s="16">
        <v>46320</v>
      </c>
    </row>
    <row r="433" spans="1:16" ht="108" customHeight="1">
      <c r="A433" s="14" t="s">
        <v>1132</v>
      </c>
      <c r="B433" s="15" t="s">
        <v>27</v>
      </c>
      <c r="C433" s="15" t="s">
        <v>1133</v>
      </c>
      <c r="D433" s="15" t="s">
        <v>1118</v>
      </c>
      <c r="E433" s="15" t="s">
        <v>1134</v>
      </c>
      <c r="F433" s="15" t="s">
        <v>1120</v>
      </c>
      <c r="G433" s="15" t="s">
        <v>1121</v>
      </c>
      <c r="H433" s="15" t="s">
        <v>1133</v>
      </c>
      <c r="I433" s="15" t="s">
        <v>1135</v>
      </c>
      <c r="J433" s="14" t="s">
        <v>17</v>
      </c>
      <c r="K433" s="14" t="s">
        <v>17</v>
      </c>
      <c r="L433" s="14" t="s">
        <v>58</v>
      </c>
      <c r="M433" s="14"/>
      <c r="N433" s="15" t="s">
        <v>1123</v>
      </c>
      <c r="O433" s="15" t="s">
        <v>4</v>
      </c>
      <c r="P433" s="16">
        <v>46320</v>
      </c>
    </row>
    <row r="434" spans="1:16" ht="90" customHeight="1">
      <c r="A434" s="14" t="s">
        <v>1136</v>
      </c>
      <c r="B434" s="15" t="s">
        <v>27</v>
      </c>
      <c r="C434" s="15" t="s">
        <v>1137</v>
      </c>
      <c r="D434" s="15" t="s">
        <v>1118</v>
      </c>
      <c r="E434" s="15" t="s">
        <v>1138</v>
      </c>
      <c r="F434" s="15" t="s">
        <v>1120</v>
      </c>
      <c r="G434" s="15" t="s">
        <v>1121</v>
      </c>
      <c r="H434" s="15" t="s">
        <v>1137</v>
      </c>
      <c r="I434" s="15" t="s">
        <v>1139</v>
      </c>
      <c r="J434" s="14" t="s">
        <v>18</v>
      </c>
      <c r="K434" s="14" t="s">
        <v>18</v>
      </c>
      <c r="L434" s="14" t="s">
        <v>58</v>
      </c>
      <c r="M434" s="14"/>
      <c r="N434" s="15" t="s">
        <v>1123</v>
      </c>
      <c r="O434" s="15" t="s">
        <v>4</v>
      </c>
      <c r="P434" s="16">
        <v>46320</v>
      </c>
    </row>
    <row r="435" spans="1:16" ht="72" customHeight="1">
      <c r="A435" s="14" t="s">
        <v>1140</v>
      </c>
      <c r="B435" s="15" t="s">
        <v>27</v>
      </c>
      <c r="C435" s="15" t="s">
        <v>1141</v>
      </c>
      <c r="D435" s="15" t="s">
        <v>1118</v>
      </c>
      <c r="E435" s="15" t="s">
        <v>1142</v>
      </c>
      <c r="F435" s="15" t="s">
        <v>1120</v>
      </c>
      <c r="G435" s="15" t="s">
        <v>1121</v>
      </c>
      <c r="H435" s="15" t="s">
        <v>1141</v>
      </c>
      <c r="I435" s="15" t="s">
        <v>1143</v>
      </c>
      <c r="J435" s="14" t="s">
        <v>18</v>
      </c>
      <c r="K435" s="14" t="s">
        <v>18</v>
      </c>
      <c r="L435" s="14" t="s">
        <v>58</v>
      </c>
      <c r="M435" s="14"/>
      <c r="N435" s="15" t="s">
        <v>1123</v>
      </c>
      <c r="O435" s="15" t="s">
        <v>4</v>
      </c>
      <c r="P435" s="16">
        <v>46320</v>
      </c>
    </row>
    <row r="436" spans="1:16" ht="72" customHeight="1">
      <c r="A436" s="14" t="s">
        <v>1144</v>
      </c>
      <c r="B436" s="15" t="s">
        <v>27</v>
      </c>
      <c r="C436" s="15" t="s">
        <v>1145</v>
      </c>
      <c r="D436" s="15" t="s">
        <v>1118</v>
      </c>
      <c r="E436" s="15" t="s">
        <v>1146</v>
      </c>
      <c r="F436" s="15" t="s">
        <v>1120</v>
      </c>
      <c r="G436" s="15" t="s">
        <v>1121</v>
      </c>
      <c r="H436" s="15" t="s">
        <v>1145</v>
      </c>
      <c r="I436" s="15" t="s">
        <v>1147</v>
      </c>
      <c r="J436" s="14" t="s">
        <v>18</v>
      </c>
      <c r="K436" s="14" t="s">
        <v>18</v>
      </c>
      <c r="L436" s="14" t="s">
        <v>58</v>
      </c>
      <c r="M436" s="14"/>
      <c r="N436" s="15" t="s">
        <v>1123</v>
      </c>
      <c r="O436" s="15" t="s">
        <v>4</v>
      </c>
      <c r="P436" s="16">
        <v>46320</v>
      </c>
    </row>
    <row r="437" spans="1:16" ht="90" customHeight="1">
      <c r="A437" s="14" t="s">
        <v>1148</v>
      </c>
      <c r="B437" s="15" t="s">
        <v>27</v>
      </c>
      <c r="C437" s="15" t="s">
        <v>1149</v>
      </c>
      <c r="D437" s="15" t="s">
        <v>1118</v>
      </c>
      <c r="E437" s="15" t="s">
        <v>1150</v>
      </c>
      <c r="F437" s="15" t="s">
        <v>1120</v>
      </c>
      <c r="G437" s="15" t="s">
        <v>1121</v>
      </c>
      <c r="H437" s="15" t="s">
        <v>1149</v>
      </c>
      <c r="I437" s="15" t="s">
        <v>1151</v>
      </c>
      <c r="J437" s="14" t="s">
        <v>17</v>
      </c>
      <c r="K437" s="14" t="s">
        <v>17</v>
      </c>
      <c r="L437" s="14" t="s">
        <v>58</v>
      </c>
      <c r="M437" s="14"/>
      <c r="N437" s="15" t="s">
        <v>1123</v>
      </c>
      <c r="O437" s="15" t="s">
        <v>4</v>
      </c>
      <c r="P437" s="16">
        <v>46320</v>
      </c>
    </row>
  </sheetData>
  <autoFilter ref="A1:P437" xr:uid="{00000000-0009-0000-0000-000001000000}"/>
  <conditionalFormatting sqref="J2:K437">
    <cfRule type="cellIs" dxfId="14" priority="1" operator="equal">
      <formula>"Pass"</formula>
    </cfRule>
    <cfRule type="cellIs" dxfId="13" priority="2" operator="equal">
      <formula>"Fail"</formula>
    </cfRule>
    <cfRule type="cellIs" dxfId="12" priority="3" operator="equal">
      <formula>"Fail (TODO)"</formula>
    </cfRule>
    <cfRule type="cellIs" dxfId="11" priority="4" operator="equal">
      <formula>"Blocked"</formula>
    </cfRule>
    <cfRule type="cellIs" dxfId="10" priority="5" operator="equal">
      <formula>"Not Run"</formula>
    </cfRule>
  </conditionalFormatting>
  <dataValidations count="1">
    <dataValidation type="list" allowBlank="1" sqref="J2:K437" xr:uid="{00000000-0002-0000-0100-000000000000}">
      <formula1>"Pass,Fail,Fail (TODO),Blocked,Not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/>
  <cols>
    <col min="1" max="1" width="9" customWidth="1"/>
    <col min="2" max="2" width="13" customWidth="1"/>
    <col min="3" max="3" width="26" customWidth="1"/>
    <col min="4" max="4" width="34" customWidth="1"/>
    <col min="5" max="5" width="42" customWidth="1"/>
    <col min="6" max="6" width="52" customWidth="1"/>
    <col min="7" max="7" width="11" customWidth="1"/>
    <col min="8" max="8" width="34" customWidth="1"/>
    <col min="9" max="9" width="30" customWidth="1"/>
    <col min="10" max="10" width="16" customWidth="1"/>
    <col min="11" max="11" width="12" customWidth="1"/>
  </cols>
  <sheetData>
    <row r="1" spans="1:11" ht="33.950000000000003" customHeight="1">
      <c r="A1" s="13" t="s">
        <v>1152</v>
      </c>
      <c r="B1" s="13" t="s">
        <v>1153</v>
      </c>
      <c r="C1" s="13" t="s">
        <v>1154</v>
      </c>
      <c r="D1" s="13" t="s">
        <v>1155</v>
      </c>
      <c r="E1" s="13" t="s">
        <v>1156</v>
      </c>
      <c r="F1" s="13" t="s">
        <v>1157</v>
      </c>
      <c r="G1" s="13" t="s">
        <v>1158</v>
      </c>
      <c r="H1" s="13" t="s">
        <v>1159</v>
      </c>
      <c r="I1" s="13" t="s">
        <v>1160</v>
      </c>
      <c r="J1" s="13" t="s">
        <v>3</v>
      </c>
      <c r="K1" s="13" t="s">
        <v>50</v>
      </c>
    </row>
    <row r="2" spans="1:11" ht="90" customHeight="1">
      <c r="A2" s="14" t="s">
        <v>1161</v>
      </c>
      <c r="B2" s="14" t="s">
        <v>1162</v>
      </c>
      <c r="C2" s="15" t="s">
        <v>1163</v>
      </c>
      <c r="D2" s="15" t="s">
        <v>1164</v>
      </c>
      <c r="E2" s="15" t="s">
        <v>1165</v>
      </c>
      <c r="F2" s="15" t="s">
        <v>1166</v>
      </c>
      <c r="G2" s="14" t="s">
        <v>14</v>
      </c>
      <c r="H2" s="15" t="s">
        <v>1167</v>
      </c>
      <c r="I2" s="15" t="s">
        <v>1168</v>
      </c>
      <c r="J2" s="15" t="s">
        <v>4</v>
      </c>
      <c r="K2" s="16">
        <v>46320</v>
      </c>
    </row>
    <row r="3" spans="1:11" ht="90" customHeight="1">
      <c r="A3" s="14" t="s">
        <v>1169</v>
      </c>
      <c r="B3" s="14" t="s">
        <v>1170</v>
      </c>
      <c r="C3" s="15" t="s">
        <v>1171</v>
      </c>
      <c r="D3" s="15" t="s">
        <v>1172</v>
      </c>
      <c r="E3" s="15" t="s">
        <v>1173</v>
      </c>
      <c r="F3" s="15" t="s">
        <v>1174</v>
      </c>
      <c r="G3" s="14" t="s">
        <v>14</v>
      </c>
      <c r="H3" s="15" t="s">
        <v>1175</v>
      </c>
      <c r="I3" s="15" t="s">
        <v>1176</v>
      </c>
      <c r="J3" s="15" t="s">
        <v>4</v>
      </c>
      <c r="K3" s="16">
        <v>46320</v>
      </c>
    </row>
    <row r="4" spans="1:11" ht="54" customHeight="1">
      <c r="A4" s="14" t="s">
        <v>1177</v>
      </c>
      <c r="B4" s="14" t="s">
        <v>1178</v>
      </c>
      <c r="C4" s="15" t="s">
        <v>1179</v>
      </c>
      <c r="D4" s="15" t="s">
        <v>1180</v>
      </c>
      <c r="E4" s="15" t="s">
        <v>1181</v>
      </c>
      <c r="F4" s="15" t="s">
        <v>1182</v>
      </c>
      <c r="G4" s="14" t="s">
        <v>14</v>
      </c>
      <c r="H4" s="15" t="s">
        <v>1183</v>
      </c>
      <c r="I4" s="15" t="s">
        <v>1184</v>
      </c>
      <c r="J4" s="15" t="s">
        <v>4</v>
      </c>
      <c r="K4" s="16">
        <v>46320</v>
      </c>
    </row>
    <row r="5" spans="1:11" ht="108" customHeight="1">
      <c r="A5" s="14" t="s">
        <v>1185</v>
      </c>
      <c r="B5" s="14" t="s">
        <v>1186</v>
      </c>
      <c r="C5" s="15" t="s">
        <v>1187</v>
      </c>
      <c r="D5" s="15" t="s">
        <v>1188</v>
      </c>
      <c r="E5" s="15" t="s">
        <v>1189</v>
      </c>
      <c r="F5" s="15" t="s">
        <v>1190</v>
      </c>
      <c r="G5" s="14" t="s">
        <v>14</v>
      </c>
      <c r="H5" s="15" t="s">
        <v>1191</v>
      </c>
      <c r="I5" s="15" t="s">
        <v>1192</v>
      </c>
      <c r="J5" s="15" t="s">
        <v>4</v>
      </c>
      <c r="K5" s="16">
        <v>46320</v>
      </c>
    </row>
    <row r="6" spans="1:11" ht="72" customHeight="1">
      <c r="A6" s="14" t="s">
        <v>1193</v>
      </c>
      <c r="B6" s="14" t="s">
        <v>1186</v>
      </c>
      <c r="C6" s="15" t="s">
        <v>1194</v>
      </c>
      <c r="D6" s="15" t="s">
        <v>1195</v>
      </c>
      <c r="E6" s="15" t="s">
        <v>1196</v>
      </c>
      <c r="F6" s="15" t="s">
        <v>1197</v>
      </c>
      <c r="G6" s="14" t="s">
        <v>14</v>
      </c>
      <c r="H6" s="15" t="s">
        <v>1183</v>
      </c>
      <c r="I6" s="15" t="s">
        <v>1198</v>
      </c>
      <c r="J6" s="15" t="s">
        <v>4</v>
      </c>
      <c r="K6" s="16">
        <v>46320</v>
      </c>
    </row>
    <row r="7" spans="1:11" ht="90" customHeight="1">
      <c r="A7" s="14" t="s">
        <v>1199</v>
      </c>
      <c r="B7" s="14" t="s">
        <v>1200</v>
      </c>
      <c r="C7" s="15" t="s">
        <v>1201</v>
      </c>
      <c r="D7" s="15" t="s">
        <v>1202</v>
      </c>
      <c r="E7" s="15" t="s">
        <v>1203</v>
      </c>
      <c r="F7" s="15" t="s">
        <v>1204</v>
      </c>
      <c r="G7" s="14" t="s">
        <v>14</v>
      </c>
      <c r="H7" s="15" t="s">
        <v>1205</v>
      </c>
      <c r="I7" s="15" t="s">
        <v>1206</v>
      </c>
      <c r="J7" s="15" t="s">
        <v>4</v>
      </c>
      <c r="K7" s="16">
        <v>46320</v>
      </c>
    </row>
    <row r="8" spans="1:11" ht="54" customHeight="1">
      <c r="A8" s="14" t="s">
        <v>1207</v>
      </c>
      <c r="B8" s="14" t="s">
        <v>1208</v>
      </c>
      <c r="C8" s="15" t="s">
        <v>1209</v>
      </c>
      <c r="D8" s="15" t="s">
        <v>1210</v>
      </c>
      <c r="E8" s="15" t="s">
        <v>1211</v>
      </c>
      <c r="F8" s="15" t="s">
        <v>1212</v>
      </c>
      <c r="G8" s="14" t="s">
        <v>14</v>
      </c>
      <c r="H8" s="15" t="s">
        <v>1183</v>
      </c>
      <c r="I8" s="15" t="s">
        <v>1213</v>
      </c>
      <c r="J8" s="15" t="s">
        <v>4</v>
      </c>
      <c r="K8" s="16">
        <v>46320</v>
      </c>
    </row>
    <row r="9" spans="1:11" ht="108" customHeight="1">
      <c r="A9" s="14" t="s">
        <v>1214</v>
      </c>
      <c r="B9" s="14" t="s">
        <v>1208</v>
      </c>
      <c r="C9" s="15" t="s">
        <v>1215</v>
      </c>
      <c r="D9" s="15" t="s">
        <v>1216</v>
      </c>
      <c r="E9" s="15" t="s">
        <v>1217</v>
      </c>
      <c r="F9" s="15" t="s">
        <v>1218</v>
      </c>
      <c r="G9" s="14" t="s">
        <v>14</v>
      </c>
      <c r="H9" s="15" t="s">
        <v>1219</v>
      </c>
      <c r="I9" s="15" t="s">
        <v>1220</v>
      </c>
      <c r="J9" s="15" t="s">
        <v>4</v>
      </c>
      <c r="K9" s="16">
        <v>46320</v>
      </c>
    </row>
    <row r="10" spans="1:11" ht="54" customHeight="1">
      <c r="A10" s="14" t="s">
        <v>1221</v>
      </c>
      <c r="B10" s="14" t="s">
        <v>1208</v>
      </c>
      <c r="C10" s="15" t="s">
        <v>1222</v>
      </c>
      <c r="D10" s="15" t="s">
        <v>1223</v>
      </c>
      <c r="E10" s="15" t="s">
        <v>1224</v>
      </c>
      <c r="F10" s="15" t="s">
        <v>1225</v>
      </c>
      <c r="G10" s="14" t="s">
        <v>14</v>
      </c>
      <c r="H10" s="15" t="s">
        <v>1226</v>
      </c>
      <c r="I10" s="15" t="s">
        <v>1227</v>
      </c>
      <c r="J10" s="15" t="s">
        <v>4</v>
      </c>
      <c r="K10" s="16">
        <v>46320</v>
      </c>
    </row>
    <row r="11" spans="1:11" ht="36" customHeight="1">
      <c r="A11" s="14" t="s">
        <v>1228</v>
      </c>
      <c r="B11" s="14" t="s">
        <v>1229</v>
      </c>
      <c r="C11" s="15" t="s">
        <v>1230</v>
      </c>
      <c r="D11" s="15" t="s">
        <v>1231</v>
      </c>
      <c r="E11" s="15" t="s">
        <v>1232</v>
      </c>
      <c r="F11" s="15" t="s">
        <v>1233</v>
      </c>
      <c r="G11" s="14" t="s">
        <v>14</v>
      </c>
      <c r="H11" s="15" t="s">
        <v>1183</v>
      </c>
      <c r="I11" s="15" t="s">
        <v>1234</v>
      </c>
      <c r="J11" s="15" t="s">
        <v>4</v>
      </c>
      <c r="K11" s="16">
        <v>46320</v>
      </c>
    </row>
    <row r="12" spans="1:11" ht="54" customHeight="1">
      <c r="A12" s="14" t="s">
        <v>1235</v>
      </c>
      <c r="B12" s="14" t="s">
        <v>1236</v>
      </c>
      <c r="C12" s="15" t="s">
        <v>1237</v>
      </c>
      <c r="D12" s="15" t="s">
        <v>1238</v>
      </c>
      <c r="E12" s="15" t="s">
        <v>1239</v>
      </c>
      <c r="F12" s="15" t="s">
        <v>1240</v>
      </c>
      <c r="G12" s="14" t="s">
        <v>14</v>
      </c>
      <c r="H12" s="15" t="s">
        <v>1183</v>
      </c>
      <c r="I12" s="15" t="s">
        <v>1241</v>
      </c>
      <c r="J12" s="15" t="s">
        <v>4</v>
      </c>
      <c r="K12" s="16">
        <v>46320</v>
      </c>
    </row>
    <row r="13" spans="1:11" ht="54" customHeight="1">
      <c r="A13" s="14" t="s">
        <v>1242</v>
      </c>
      <c r="B13" s="14" t="s">
        <v>1243</v>
      </c>
      <c r="C13" s="15" t="s">
        <v>1244</v>
      </c>
      <c r="D13" s="15" t="s">
        <v>1245</v>
      </c>
      <c r="E13" s="15" t="s">
        <v>1246</v>
      </c>
      <c r="F13" s="15" t="s">
        <v>1247</v>
      </c>
      <c r="G13" s="14" t="s">
        <v>14</v>
      </c>
      <c r="H13" s="15" t="s">
        <v>1183</v>
      </c>
      <c r="I13" s="15" t="s">
        <v>1248</v>
      </c>
      <c r="J13" s="15" t="s">
        <v>4</v>
      </c>
      <c r="K13" s="16">
        <v>46320</v>
      </c>
    </row>
    <row r="14" spans="1:11" ht="108" customHeight="1">
      <c r="A14" s="14" t="s">
        <v>1249</v>
      </c>
      <c r="B14" s="14" t="s">
        <v>1250</v>
      </c>
      <c r="C14" s="15" t="s">
        <v>1251</v>
      </c>
      <c r="D14" s="15" t="s">
        <v>1252</v>
      </c>
      <c r="E14" s="15" t="s">
        <v>1253</v>
      </c>
      <c r="F14" s="15" t="s">
        <v>1254</v>
      </c>
      <c r="G14" s="14" t="s">
        <v>14</v>
      </c>
      <c r="H14" s="15" t="s">
        <v>1183</v>
      </c>
      <c r="I14" s="15" t="s">
        <v>1255</v>
      </c>
      <c r="J14" s="15" t="s">
        <v>4</v>
      </c>
      <c r="K14" s="16">
        <v>46320</v>
      </c>
    </row>
    <row r="15" spans="1:11" ht="72" customHeight="1">
      <c r="A15" s="14" t="s">
        <v>1256</v>
      </c>
      <c r="B15" s="14" t="s">
        <v>1257</v>
      </c>
      <c r="C15" s="15" t="s">
        <v>1258</v>
      </c>
      <c r="D15" s="15" t="s">
        <v>1259</v>
      </c>
      <c r="E15" s="15" t="s">
        <v>1260</v>
      </c>
      <c r="F15" s="15" t="s">
        <v>1261</v>
      </c>
      <c r="G15" s="14" t="s">
        <v>14</v>
      </c>
      <c r="H15" s="15" t="s">
        <v>1183</v>
      </c>
      <c r="I15" s="15" t="s">
        <v>1262</v>
      </c>
      <c r="J15" s="15" t="s">
        <v>4</v>
      </c>
      <c r="K15" s="16">
        <v>46320</v>
      </c>
    </row>
    <row r="16" spans="1:11" ht="72" customHeight="1">
      <c r="A16" s="14" t="s">
        <v>1263</v>
      </c>
      <c r="B16" s="14" t="s">
        <v>1264</v>
      </c>
      <c r="C16" s="15" t="s">
        <v>1265</v>
      </c>
      <c r="D16" s="15" t="s">
        <v>1266</v>
      </c>
      <c r="E16" s="15" t="s">
        <v>1267</v>
      </c>
      <c r="F16" s="15" t="s">
        <v>1268</v>
      </c>
      <c r="G16" s="14" t="s">
        <v>15</v>
      </c>
      <c r="H16" s="15" t="s">
        <v>1269</v>
      </c>
      <c r="I16" s="15" t="s">
        <v>1270</v>
      </c>
      <c r="J16" s="15" t="s">
        <v>4</v>
      </c>
      <c r="K16" s="16">
        <v>46320</v>
      </c>
    </row>
    <row r="17" spans="1:11" ht="72" customHeight="1">
      <c r="A17" s="14" t="s">
        <v>1271</v>
      </c>
      <c r="B17" s="14" t="s">
        <v>1272</v>
      </c>
      <c r="C17" s="15" t="s">
        <v>1273</v>
      </c>
      <c r="D17" s="15" t="s">
        <v>1274</v>
      </c>
      <c r="E17" s="15" t="s">
        <v>1275</v>
      </c>
      <c r="F17" s="15" t="s">
        <v>1276</v>
      </c>
      <c r="G17" s="14" t="s">
        <v>14</v>
      </c>
      <c r="H17" s="15" t="s">
        <v>1277</v>
      </c>
      <c r="I17" s="15" t="s">
        <v>1278</v>
      </c>
      <c r="J17" s="15" t="s">
        <v>4</v>
      </c>
      <c r="K17" s="16">
        <v>46320</v>
      </c>
    </row>
    <row r="18" spans="1:11" ht="72" customHeight="1">
      <c r="A18" s="14" t="s">
        <v>1279</v>
      </c>
      <c r="B18" s="14" t="s">
        <v>1272</v>
      </c>
      <c r="C18" s="15" t="s">
        <v>1280</v>
      </c>
      <c r="D18" s="15" t="s">
        <v>1281</v>
      </c>
      <c r="E18" s="15" t="s">
        <v>1282</v>
      </c>
      <c r="F18" s="15" t="s">
        <v>1283</v>
      </c>
      <c r="G18" s="14" t="s">
        <v>15</v>
      </c>
      <c r="H18" s="15" t="s">
        <v>1284</v>
      </c>
      <c r="I18" s="15" t="s">
        <v>1285</v>
      </c>
      <c r="J18" s="15" t="s">
        <v>4</v>
      </c>
      <c r="K18" s="16">
        <v>46320</v>
      </c>
    </row>
    <row r="19" spans="1:11" ht="36" customHeight="1">
      <c r="A19" s="14" t="s">
        <v>1286</v>
      </c>
      <c r="B19" s="14" t="s">
        <v>1287</v>
      </c>
      <c r="C19" s="15" t="s">
        <v>1288</v>
      </c>
      <c r="D19" s="15" t="s">
        <v>1289</v>
      </c>
      <c r="E19" s="15" t="s">
        <v>1290</v>
      </c>
      <c r="F19" s="15" t="s">
        <v>1291</v>
      </c>
      <c r="G19" s="14" t="s">
        <v>14</v>
      </c>
      <c r="H19" s="15" t="s">
        <v>1183</v>
      </c>
      <c r="I19" s="15" t="s">
        <v>1292</v>
      </c>
      <c r="J19" s="15" t="s">
        <v>4</v>
      </c>
      <c r="K19" s="16">
        <v>46320</v>
      </c>
    </row>
    <row r="20" spans="1:11" ht="54" customHeight="1">
      <c r="A20" s="14" t="s">
        <v>1293</v>
      </c>
      <c r="B20" s="14" t="s">
        <v>1287</v>
      </c>
      <c r="C20" s="15" t="s">
        <v>1294</v>
      </c>
      <c r="D20" s="15" t="s">
        <v>1184</v>
      </c>
      <c r="E20" s="15" t="s">
        <v>1295</v>
      </c>
      <c r="F20" s="15" t="s">
        <v>1296</v>
      </c>
      <c r="G20" s="14" t="s">
        <v>18</v>
      </c>
      <c r="H20" s="15" t="s">
        <v>1297</v>
      </c>
      <c r="I20" s="15" t="s">
        <v>1184</v>
      </c>
      <c r="J20" s="15" t="s">
        <v>4</v>
      </c>
      <c r="K20" s="16">
        <v>46320</v>
      </c>
    </row>
  </sheetData>
  <autoFilter ref="A1:K20" xr:uid="{00000000-0009-0000-0000-000002000000}"/>
  <conditionalFormatting sqref="G2:G20">
    <cfRule type="cellIs" dxfId="9" priority="1" operator="equal">
      <formula>"Pass"</formula>
    </cfRule>
    <cfRule type="cellIs" dxfId="8" priority="2" operator="equal">
      <formula>"Fail"</formula>
    </cfRule>
    <cfRule type="cellIs" dxfId="7" priority="3" operator="equal">
      <formula>"Fail (TODO)"</formula>
    </cfRule>
    <cfRule type="cellIs" dxfId="6" priority="4" operator="equal">
      <formula>"Blocked"</formula>
    </cfRule>
    <cfRule type="cellIs" dxfId="5" priority="5" operator="equal">
      <formula>"Not Run"</formula>
    </cfRule>
  </conditionalFormatting>
  <dataValidations count="1">
    <dataValidation type="list" allowBlank="1" sqref="G2:G20" xr:uid="{00000000-0002-0000-0200-000000000000}">
      <formula1>"Pass,Fail,Fail (TODO),Blocked,Not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/>
  <cols>
    <col min="1" max="1" width="12" customWidth="1"/>
    <col min="2" max="2" width="52" customWidth="1"/>
    <col min="3" max="3" width="80" customWidth="1"/>
    <col min="4" max="4" width="12" customWidth="1"/>
  </cols>
  <sheetData>
    <row r="1" spans="1:4" ht="33.950000000000003" customHeight="1">
      <c r="A1" s="13" t="s">
        <v>1298</v>
      </c>
      <c r="B1" s="13" t="s">
        <v>1299</v>
      </c>
      <c r="C1" s="13" t="s">
        <v>1300</v>
      </c>
      <c r="D1" s="13" t="s">
        <v>1158</v>
      </c>
    </row>
    <row r="2" spans="1:4" ht="54" customHeight="1">
      <c r="A2" s="14" t="s">
        <v>1301</v>
      </c>
      <c r="B2" s="15" t="s">
        <v>1302</v>
      </c>
      <c r="C2" s="15" t="s">
        <v>1303</v>
      </c>
      <c r="D2" s="14" t="s">
        <v>1304</v>
      </c>
    </row>
    <row r="3" spans="1:4" ht="36" customHeight="1">
      <c r="A3" s="14" t="s">
        <v>1305</v>
      </c>
      <c r="B3" s="15" t="s">
        <v>1306</v>
      </c>
      <c r="C3" s="15" t="s">
        <v>1307</v>
      </c>
      <c r="D3" s="14" t="s">
        <v>1304</v>
      </c>
    </row>
    <row r="4" spans="1:4" ht="36" customHeight="1">
      <c r="A4" s="14" t="s">
        <v>1308</v>
      </c>
      <c r="B4" s="15" t="s">
        <v>1309</v>
      </c>
      <c r="C4" s="15" t="s">
        <v>1310</v>
      </c>
      <c r="D4" s="14" t="s">
        <v>1304</v>
      </c>
    </row>
    <row r="5" spans="1:4" ht="54" customHeight="1">
      <c r="A5" s="14" t="s">
        <v>1311</v>
      </c>
      <c r="B5" s="15" t="s">
        <v>1312</v>
      </c>
      <c r="C5" s="15" t="s">
        <v>1313</v>
      </c>
      <c r="D5" s="14" t="s">
        <v>1304</v>
      </c>
    </row>
    <row r="6" spans="1:4" ht="54" customHeight="1">
      <c r="A6" s="14" t="s">
        <v>1314</v>
      </c>
      <c r="B6" s="15" t="s">
        <v>1315</v>
      </c>
      <c r="C6" s="15" t="s">
        <v>1316</v>
      </c>
      <c r="D6" s="14" t="s">
        <v>1304</v>
      </c>
    </row>
    <row r="7" spans="1:4" ht="36" customHeight="1">
      <c r="A7" s="14" t="s">
        <v>1317</v>
      </c>
      <c r="B7" s="15" t="s">
        <v>1318</v>
      </c>
      <c r="C7" s="15" t="s">
        <v>1319</v>
      </c>
      <c r="D7" s="14" t="s">
        <v>1320</v>
      </c>
    </row>
    <row r="8" spans="1:4" ht="36" customHeight="1">
      <c r="A8" s="14" t="s">
        <v>1321</v>
      </c>
      <c r="B8" s="15" t="s">
        <v>1322</v>
      </c>
      <c r="C8" s="15" t="s">
        <v>1323</v>
      </c>
      <c r="D8" s="14" t="s">
        <v>1304</v>
      </c>
    </row>
    <row r="9" spans="1:4" ht="36" customHeight="1">
      <c r="A9" s="14" t="s">
        <v>1324</v>
      </c>
      <c r="B9" s="15" t="s">
        <v>1325</v>
      </c>
      <c r="C9" s="15" t="s">
        <v>1326</v>
      </c>
      <c r="D9" s="14" t="s">
        <v>1304</v>
      </c>
    </row>
  </sheetData>
  <autoFilter ref="A1:D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/>
  <cols>
    <col min="1" max="1" width="28" customWidth="1"/>
    <col min="2" max="2" width="90" customWidth="1"/>
    <col min="3" max="3" width="13" customWidth="1"/>
    <col min="4" max="4" width="50" customWidth="1"/>
  </cols>
  <sheetData>
    <row r="1" spans="1:4" ht="33.950000000000003" customHeight="1">
      <c r="A1" s="13" t="s">
        <v>1327</v>
      </c>
      <c r="B1" s="13" t="s">
        <v>1328</v>
      </c>
      <c r="C1" s="13" t="s">
        <v>1158</v>
      </c>
      <c r="D1" s="13" t="s">
        <v>1329</v>
      </c>
    </row>
    <row r="2" spans="1:4" ht="36" customHeight="1">
      <c r="A2" s="15" t="s">
        <v>1330</v>
      </c>
      <c r="B2" s="15" t="s">
        <v>1331</v>
      </c>
      <c r="C2" s="14" t="s">
        <v>16</v>
      </c>
      <c r="D2" s="15" t="s">
        <v>1332</v>
      </c>
    </row>
    <row r="3" spans="1:4" ht="36" customHeight="1">
      <c r="A3" s="15" t="s">
        <v>1330</v>
      </c>
      <c r="B3" s="15" t="s">
        <v>1333</v>
      </c>
      <c r="C3" s="14" t="s">
        <v>16</v>
      </c>
      <c r="D3" s="15" t="s">
        <v>1334</v>
      </c>
    </row>
    <row r="4" spans="1:4" ht="36" customHeight="1">
      <c r="A4" s="15" t="s">
        <v>1335</v>
      </c>
      <c r="B4" s="15" t="s">
        <v>1336</v>
      </c>
      <c r="C4" s="14" t="s">
        <v>14</v>
      </c>
      <c r="D4" s="15"/>
    </row>
    <row r="5" spans="1:4" ht="36" customHeight="1">
      <c r="A5" s="15" t="s">
        <v>1335</v>
      </c>
      <c r="B5" s="15" t="s">
        <v>1337</v>
      </c>
      <c r="C5" s="14" t="s">
        <v>14</v>
      </c>
      <c r="D5" s="15"/>
    </row>
    <row r="6" spans="1:4" ht="36" customHeight="1">
      <c r="A6" s="15" t="s">
        <v>1335</v>
      </c>
      <c r="B6" s="15" t="s">
        <v>1338</v>
      </c>
      <c r="C6" s="14" t="s">
        <v>14</v>
      </c>
      <c r="D6" s="15"/>
    </row>
    <row r="7" spans="1:4" ht="36" customHeight="1">
      <c r="A7" s="15" t="s">
        <v>1335</v>
      </c>
      <c r="B7" s="15" t="s">
        <v>1339</v>
      </c>
      <c r="C7" s="14" t="s">
        <v>14</v>
      </c>
      <c r="D7" s="15"/>
    </row>
    <row r="8" spans="1:4" ht="36" customHeight="1">
      <c r="A8" s="15" t="s">
        <v>1335</v>
      </c>
      <c r="B8" s="15" t="s">
        <v>1340</v>
      </c>
      <c r="C8" s="14" t="s">
        <v>14</v>
      </c>
      <c r="D8" s="15"/>
    </row>
    <row r="9" spans="1:4" ht="36" customHeight="1">
      <c r="A9" s="15" t="s">
        <v>1335</v>
      </c>
      <c r="B9" s="15" t="s">
        <v>1341</v>
      </c>
      <c r="C9" s="14" t="s">
        <v>14</v>
      </c>
      <c r="D9" s="15"/>
    </row>
    <row r="10" spans="1:4" ht="36" customHeight="1">
      <c r="A10" s="15" t="s">
        <v>1335</v>
      </c>
      <c r="B10" s="15" t="s">
        <v>1342</v>
      </c>
      <c r="C10" s="14" t="s">
        <v>14</v>
      </c>
      <c r="D10" s="15"/>
    </row>
    <row r="11" spans="1:4" ht="36" customHeight="1">
      <c r="A11" s="15" t="s">
        <v>1335</v>
      </c>
      <c r="B11" s="15" t="s">
        <v>1343</v>
      </c>
      <c r="C11" s="14" t="s">
        <v>14</v>
      </c>
      <c r="D11" s="15"/>
    </row>
    <row r="12" spans="1:4" ht="36" customHeight="1">
      <c r="A12" s="15" t="s">
        <v>1335</v>
      </c>
      <c r="B12" s="15" t="s">
        <v>1344</v>
      </c>
      <c r="C12" s="14" t="s">
        <v>14</v>
      </c>
      <c r="D12" s="15"/>
    </row>
    <row r="13" spans="1:4" ht="36" customHeight="1">
      <c r="A13" s="15" t="s">
        <v>1335</v>
      </c>
      <c r="B13" s="15" t="s">
        <v>1345</v>
      </c>
      <c r="C13" s="14" t="s">
        <v>14</v>
      </c>
      <c r="D13" s="15"/>
    </row>
    <row r="14" spans="1:4" ht="36" customHeight="1">
      <c r="A14" s="15" t="s">
        <v>1335</v>
      </c>
      <c r="B14" s="15" t="s">
        <v>1346</v>
      </c>
      <c r="C14" s="14" t="s">
        <v>14</v>
      </c>
      <c r="D14" s="15"/>
    </row>
    <row r="15" spans="1:4" ht="36" customHeight="1">
      <c r="A15" s="15" t="s">
        <v>1335</v>
      </c>
      <c r="B15" s="15" t="s">
        <v>1347</v>
      </c>
      <c r="C15" s="14" t="s">
        <v>14</v>
      </c>
      <c r="D15" s="15"/>
    </row>
    <row r="16" spans="1:4" ht="36" customHeight="1">
      <c r="A16" s="15" t="s">
        <v>1335</v>
      </c>
      <c r="B16" s="15" t="s">
        <v>1348</v>
      </c>
      <c r="C16" s="14" t="s">
        <v>14</v>
      </c>
      <c r="D16" s="15"/>
    </row>
    <row r="17" spans="1:4" ht="36" customHeight="1">
      <c r="A17" s="15" t="s">
        <v>1335</v>
      </c>
      <c r="B17" s="15" t="s">
        <v>1349</v>
      </c>
      <c r="C17" s="14" t="s">
        <v>14</v>
      </c>
      <c r="D17" s="15"/>
    </row>
    <row r="18" spans="1:4" ht="36" customHeight="1">
      <c r="A18" s="15" t="s">
        <v>1335</v>
      </c>
      <c r="B18" s="15" t="s">
        <v>1350</v>
      </c>
      <c r="C18" s="14" t="s">
        <v>14</v>
      </c>
      <c r="D18" s="15"/>
    </row>
    <row r="19" spans="1:4" ht="36" customHeight="1">
      <c r="A19" s="15" t="s">
        <v>1335</v>
      </c>
      <c r="B19" s="15" t="s">
        <v>1351</v>
      </c>
      <c r="C19" s="14" t="s">
        <v>14</v>
      </c>
      <c r="D19" s="15"/>
    </row>
    <row r="20" spans="1:4" ht="36" customHeight="1">
      <c r="A20" s="15" t="s">
        <v>1335</v>
      </c>
      <c r="B20" s="15" t="s">
        <v>1352</v>
      </c>
      <c r="C20" s="14" t="s">
        <v>14</v>
      </c>
      <c r="D20" s="15"/>
    </row>
    <row r="21" spans="1:4" ht="36" customHeight="1">
      <c r="A21" s="15" t="s">
        <v>1335</v>
      </c>
      <c r="B21" s="15" t="s">
        <v>1353</v>
      </c>
      <c r="C21" s="14" t="s">
        <v>14</v>
      </c>
      <c r="D21" s="15"/>
    </row>
    <row r="22" spans="1:4" ht="36" customHeight="1">
      <c r="A22" s="15" t="s">
        <v>1335</v>
      </c>
      <c r="B22" s="15" t="s">
        <v>1354</v>
      </c>
      <c r="C22" s="14" t="s">
        <v>14</v>
      </c>
      <c r="D22" s="15"/>
    </row>
    <row r="23" spans="1:4" ht="36" customHeight="1">
      <c r="A23" s="15" t="s">
        <v>1335</v>
      </c>
      <c r="B23" s="15" t="s">
        <v>1355</v>
      </c>
      <c r="C23" s="14" t="s">
        <v>14</v>
      </c>
      <c r="D23" s="15"/>
    </row>
    <row r="24" spans="1:4" ht="36" customHeight="1">
      <c r="A24" s="15" t="s">
        <v>1335</v>
      </c>
      <c r="B24" s="15" t="s">
        <v>1356</v>
      </c>
      <c r="C24" s="14" t="s">
        <v>14</v>
      </c>
      <c r="D24" s="15"/>
    </row>
    <row r="25" spans="1:4" ht="36" customHeight="1">
      <c r="A25" s="15" t="s">
        <v>1335</v>
      </c>
      <c r="B25" s="15" t="s">
        <v>1357</v>
      </c>
      <c r="C25" s="14" t="s">
        <v>14</v>
      </c>
      <c r="D25" s="15"/>
    </row>
    <row r="26" spans="1:4" ht="36" customHeight="1">
      <c r="A26" s="15" t="s">
        <v>1335</v>
      </c>
      <c r="B26" s="15" t="s">
        <v>1358</v>
      </c>
      <c r="C26" s="14" t="s">
        <v>14</v>
      </c>
      <c r="D26" s="15"/>
    </row>
    <row r="27" spans="1:4" ht="36" customHeight="1">
      <c r="A27" s="15" t="s">
        <v>1335</v>
      </c>
      <c r="B27" s="15" t="s">
        <v>1359</v>
      </c>
      <c r="C27" s="14" t="s">
        <v>14</v>
      </c>
      <c r="D27" s="15"/>
    </row>
    <row r="28" spans="1:4" ht="36" customHeight="1">
      <c r="A28" s="15" t="s">
        <v>1335</v>
      </c>
      <c r="B28" s="15" t="s">
        <v>1360</v>
      </c>
      <c r="C28" s="14" t="s">
        <v>14</v>
      </c>
      <c r="D28" s="15"/>
    </row>
    <row r="29" spans="1:4" ht="36" customHeight="1">
      <c r="A29" s="15" t="s">
        <v>1335</v>
      </c>
      <c r="B29" s="15" t="s">
        <v>1361</v>
      </c>
      <c r="C29" s="14" t="s">
        <v>14</v>
      </c>
      <c r="D29" s="15"/>
    </row>
    <row r="30" spans="1:4" ht="36" customHeight="1">
      <c r="A30" s="15" t="s">
        <v>1335</v>
      </c>
      <c r="B30" s="15" t="s">
        <v>1362</v>
      </c>
      <c r="C30" s="14" t="s">
        <v>14</v>
      </c>
      <c r="D30" s="15"/>
    </row>
    <row r="31" spans="1:4" ht="36" customHeight="1">
      <c r="A31" s="15" t="s">
        <v>1335</v>
      </c>
      <c r="B31" s="15" t="s">
        <v>1363</v>
      </c>
      <c r="C31" s="14" t="s">
        <v>14</v>
      </c>
      <c r="D31" s="15"/>
    </row>
    <row r="32" spans="1:4" ht="36" customHeight="1">
      <c r="A32" s="15" t="s">
        <v>1335</v>
      </c>
      <c r="B32" s="15" t="s">
        <v>1364</v>
      </c>
      <c r="C32" s="14" t="s">
        <v>14</v>
      </c>
      <c r="D32" s="15"/>
    </row>
    <row r="33" spans="1:4" ht="36" customHeight="1">
      <c r="A33" s="15" t="s">
        <v>1335</v>
      </c>
      <c r="B33" s="15" t="s">
        <v>1365</v>
      </c>
      <c r="C33" s="14" t="s">
        <v>14</v>
      </c>
      <c r="D33" s="15"/>
    </row>
    <row r="34" spans="1:4" ht="36" customHeight="1">
      <c r="A34" s="15" t="s">
        <v>1335</v>
      </c>
      <c r="B34" s="15" t="s">
        <v>1366</v>
      </c>
      <c r="C34" s="14" t="s">
        <v>14</v>
      </c>
      <c r="D34" s="15"/>
    </row>
    <row r="35" spans="1:4" ht="36" customHeight="1">
      <c r="A35" s="15" t="s">
        <v>1335</v>
      </c>
      <c r="B35" s="15" t="s">
        <v>1367</v>
      </c>
      <c r="C35" s="14" t="s">
        <v>14</v>
      </c>
      <c r="D35" s="15"/>
    </row>
    <row r="36" spans="1:4" ht="36" customHeight="1">
      <c r="A36" s="15" t="s">
        <v>1335</v>
      </c>
      <c r="B36" s="15" t="s">
        <v>1368</v>
      </c>
      <c r="C36" s="14" t="s">
        <v>14</v>
      </c>
      <c r="D36" s="15"/>
    </row>
    <row r="37" spans="1:4" ht="36" customHeight="1">
      <c r="A37" s="15" t="s">
        <v>1335</v>
      </c>
      <c r="B37" s="15" t="s">
        <v>1369</v>
      </c>
      <c r="C37" s="14" t="s">
        <v>14</v>
      </c>
      <c r="D37" s="15"/>
    </row>
    <row r="38" spans="1:4" ht="36" customHeight="1">
      <c r="A38" s="15" t="s">
        <v>1335</v>
      </c>
      <c r="B38" s="15" t="s">
        <v>1370</v>
      </c>
      <c r="C38" s="14" t="s">
        <v>14</v>
      </c>
      <c r="D38" s="15"/>
    </row>
    <row r="39" spans="1:4" ht="36" customHeight="1">
      <c r="A39" s="15" t="s">
        <v>1335</v>
      </c>
      <c r="B39" s="15" t="s">
        <v>1371</v>
      </c>
      <c r="C39" s="14" t="s">
        <v>14</v>
      </c>
      <c r="D39" s="15"/>
    </row>
    <row r="40" spans="1:4" ht="36" customHeight="1">
      <c r="A40" s="15" t="s">
        <v>1335</v>
      </c>
      <c r="B40" s="15" t="s">
        <v>1372</v>
      </c>
      <c r="C40" s="14" t="s">
        <v>14</v>
      </c>
      <c r="D40" s="15"/>
    </row>
    <row r="41" spans="1:4" ht="36" customHeight="1">
      <c r="A41" s="15" t="s">
        <v>1335</v>
      </c>
      <c r="B41" s="15" t="s">
        <v>1373</v>
      </c>
      <c r="C41" s="14" t="s">
        <v>14</v>
      </c>
      <c r="D41" s="15"/>
    </row>
    <row r="42" spans="1:4" ht="36" customHeight="1">
      <c r="A42" s="15" t="s">
        <v>1335</v>
      </c>
      <c r="B42" s="15" t="s">
        <v>1374</v>
      </c>
      <c r="C42" s="14" t="s">
        <v>14</v>
      </c>
      <c r="D42" s="15"/>
    </row>
    <row r="43" spans="1:4" ht="36" customHeight="1">
      <c r="A43" s="15" t="s">
        <v>1335</v>
      </c>
      <c r="B43" s="15" t="s">
        <v>1375</v>
      </c>
      <c r="C43" s="14" t="s">
        <v>14</v>
      </c>
      <c r="D43" s="15"/>
    </row>
    <row r="44" spans="1:4" ht="36" customHeight="1">
      <c r="A44" s="15" t="s">
        <v>1335</v>
      </c>
      <c r="B44" s="15" t="s">
        <v>1376</v>
      </c>
      <c r="C44" s="14" t="s">
        <v>14</v>
      </c>
      <c r="D44" s="15"/>
    </row>
    <row r="45" spans="1:4" ht="36" customHeight="1">
      <c r="A45" s="15" t="s">
        <v>1335</v>
      </c>
      <c r="B45" s="15" t="s">
        <v>1377</v>
      </c>
      <c r="C45" s="14" t="s">
        <v>14</v>
      </c>
      <c r="D45" s="15"/>
    </row>
    <row r="46" spans="1:4" ht="36" customHeight="1">
      <c r="A46" s="15" t="s">
        <v>1335</v>
      </c>
      <c r="B46" s="15" t="s">
        <v>1378</v>
      </c>
      <c r="C46" s="14" t="s">
        <v>14</v>
      </c>
      <c r="D46" s="15"/>
    </row>
    <row r="47" spans="1:4" ht="36" customHeight="1">
      <c r="A47" s="15" t="s">
        <v>1335</v>
      </c>
      <c r="B47" s="15" t="s">
        <v>1379</v>
      </c>
      <c r="C47" s="14" t="s">
        <v>14</v>
      </c>
      <c r="D47" s="15"/>
    </row>
    <row r="48" spans="1:4" ht="36" customHeight="1">
      <c r="A48" s="15" t="s">
        <v>1335</v>
      </c>
      <c r="B48" s="15" t="s">
        <v>1380</v>
      </c>
      <c r="C48" s="14" t="s">
        <v>14</v>
      </c>
      <c r="D48" s="15"/>
    </row>
    <row r="49" spans="1:4" ht="36" customHeight="1">
      <c r="A49" s="15" t="s">
        <v>1335</v>
      </c>
      <c r="B49" s="15" t="s">
        <v>1381</v>
      </c>
      <c r="C49" s="14" t="s">
        <v>14</v>
      </c>
      <c r="D49" s="15"/>
    </row>
    <row r="50" spans="1:4" ht="36" customHeight="1">
      <c r="A50" s="15" t="s">
        <v>1335</v>
      </c>
      <c r="B50" s="15" t="s">
        <v>1382</v>
      </c>
      <c r="C50" s="14" t="s">
        <v>14</v>
      </c>
      <c r="D50" s="15"/>
    </row>
    <row r="51" spans="1:4" ht="36" customHeight="1">
      <c r="A51" s="15" t="s">
        <v>1335</v>
      </c>
      <c r="B51" s="15" t="s">
        <v>1383</v>
      </c>
      <c r="C51" s="14" t="s">
        <v>14</v>
      </c>
      <c r="D51" s="15"/>
    </row>
    <row r="52" spans="1:4" ht="36" customHeight="1">
      <c r="A52" s="15" t="s">
        <v>1335</v>
      </c>
      <c r="B52" s="15" t="s">
        <v>1384</v>
      </c>
      <c r="C52" s="14" t="s">
        <v>14</v>
      </c>
      <c r="D52" s="15"/>
    </row>
    <row r="53" spans="1:4" ht="36" customHeight="1">
      <c r="A53" s="15" t="s">
        <v>1335</v>
      </c>
      <c r="B53" s="15" t="s">
        <v>1385</v>
      </c>
      <c r="C53" s="14" t="s">
        <v>14</v>
      </c>
      <c r="D53" s="15"/>
    </row>
    <row r="54" spans="1:4" ht="36" customHeight="1">
      <c r="A54" s="15" t="s">
        <v>1335</v>
      </c>
      <c r="B54" s="15" t="s">
        <v>1386</v>
      </c>
      <c r="C54" s="14" t="s">
        <v>14</v>
      </c>
      <c r="D54" s="15"/>
    </row>
    <row r="55" spans="1:4" ht="36" customHeight="1">
      <c r="A55" s="15" t="s">
        <v>1335</v>
      </c>
      <c r="B55" s="15" t="s">
        <v>1387</v>
      </c>
      <c r="C55" s="14" t="s">
        <v>14</v>
      </c>
      <c r="D55" s="15"/>
    </row>
    <row r="56" spans="1:4" ht="36" customHeight="1">
      <c r="A56" s="15" t="s">
        <v>1335</v>
      </c>
      <c r="B56" s="15" t="s">
        <v>1388</v>
      </c>
      <c r="C56" s="14" t="s">
        <v>14</v>
      </c>
      <c r="D56" s="15"/>
    </row>
    <row r="57" spans="1:4" ht="36" customHeight="1">
      <c r="A57" s="15" t="s">
        <v>1335</v>
      </c>
      <c r="B57" s="15" t="s">
        <v>1389</v>
      </c>
      <c r="C57" s="14" t="s">
        <v>14</v>
      </c>
      <c r="D57" s="15"/>
    </row>
    <row r="58" spans="1:4" ht="36" customHeight="1">
      <c r="A58" s="15" t="s">
        <v>1335</v>
      </c>
      <c r="B58" s="15" t="s">
        <v>1390</v>
      </c>
      <c r="C58" s="14" t="s">
        <v>14</v>
      </c>
      <c r="D58" s="15"/>
    </row>
    <row r="59" spans="1:4" ht="36" customHeight="1">
      <c r="A59" s="15" t="s">
        <v>1335</v>
      </c>
      <c r="B59" s="15" t="s">
        <v>1391</v>
      </c>
      <c r="C59" s="14" t="s">
        <v>14</v>
      </c>
      <c r="D59" s="15"/>
    </row>
    <row r="60" spans="1:4" ht="36" customHeight="1">
      <c r="A60" s="15" t="s">
        <v>1335</v>
      </c>
      <c r="B60" s="15" t="s">
        <v>1392</v>
      </c>
      <c r="C60" s="14" t="s">
        <v>14</v>
      </c>
      <c r="D60" s="15"/>
    </row>
    <row r="61" spans="1:4" ht="36" customHeight="1">
      <c r="A61" s="15" t="s">
        <v>1335</v>
      </c>
      <c r="B61" s="15" t="s">
        <v>1393</v>
      </c>
      <c r="C61" s="14" t="s">
        <v>14</v>
      </c>
      <c r="D61" s="15"/>
    </row>
    <row r="62" spans="1:4" ht="36" customHeight="1">
      <c r="A62" s="15" t="s">
        <v>1335</v>
      </c>
      <c r="B62" s="15" t="s">
        <v>1394</v>
      </c>
      <c r="C62" s="14" t="s">
        <v>14</v>
      </c>
      <c r="D62" s="15"/>
    </row>
    <row r="63" spans="1:4" ht="36" customHeight="1">
      <c r="A63" s="15" t="s">
        <v>1335</v>
      </c>
      <c r="B63" s="15" t="s">
        <v>1395</v>
      </c>
      <c r="C63" s="14" t="s">
        <v>14</v>
      </c>
      <c r="D63" s="15"/>
    </row>
    <row r="64" spans="1:4" ht="21.95" customHeight="1">
      <c r="A64" s="15" t="s">
        <v>1330</v>
      </c>
      <c r="B64" s="15" t="s">
        <v>1396</v>
      </c>
      <c r="C64" s="14" t="s">
        <v>14</v>
      </c>
      <c r="D64" s="15"/>
    </row>
    <row r="65" spans="1:4" ht="21.95" customHeight="1">
      <c r="A65" s="15" t="s">
        <v>1330</v>
      </c>
      <c r="B65" s="15" t="s">
        <v>1397</v>
      </c>
      <c r="C65" s="14" t="s">
        <v>14</v>
      </c>
      <c r="D65" s="15"/>
    </row>
    <row r="66" spans="1:4" ht="21.95" customHeight="1">
      <c r="A66" s="15" t="s">
        <v>1330</v>
      </c>
      <c r="B66" s="15" t="s">
        <v>1398</v>
      </c>
      <c r="C66" s="14" t="s">
        <v>14</v>
      </c>
      <c r="D66" s="15"/>
    </row>
    <row r="67" spans="1:4" ht="21.95" customHeight="1">
      <c r="A67" s="15" t="s">
        <v>1330</v>
      </c>
      <c r="B67" s="15" t="s">
        <v>1399</v>
      </c>
      <c r="C67" s="14" t="s">
        <v>14</v>
      </c>
      <c r="D67" s="15"/>
    </row>
    <row r="68" spans="1:4" ht="21.95" customHeight="1">
      <c r="A68" s="15" t="s">
        <v>1330</v>
      </c>
      <c r="B68" s="15" t="s">
        <v>1400</v>
      </c>
      <c r="C68" s="14" t="s">
        <v>14</v>
      </c>
      <c r="D68" s="15"/>
    </row>
    <row r="69" spans="1:4" ht="21.95" customHeight="1">
      <c r="A69" s="15" t="s">
        <v>1330</v>
      </c>
      <c r="B69" s="15" t="s">
        <v>1401</v>
      </c>
      <c r="C69" s="14" t="s">
        <v>14</v>
      </c>
      <c r="D69" s="15"/>
    </row>
    <row r="70" spans="1:4" ht="36" customHeight="1">
      <c r="A70" s="15" t="s">
        <v>1330</v>
      </c>
      <c r="B70" s="15" t="s">
        <v>1402</v>
      </c>
      <c r="C70" s="14" t="s">
        <v>14</v>
      </c>
      <c r="D70" s="15"/>
    </row>
    <row r="71" spans="1:4" ht="21.95" customHeight="1">
      <c r="A71" s="15" t="s">
        <v>1330</v>
      </c>
      <c r="B71" s="15" t="s">
        <v>1403</v>
      </c>
      <c r="C71" s="14" t="s">
        <v>14</v>
      </c>
      <c r="D71" s="15"/>
    </row>
    <row r="72" spans="1:4" ht="21.95" customHeight="1">
      <c r="A72" s="15" t="s">
        <v>1330</v>
      </c>
      <c r="B72" s="15" t="s">
        <v>1404</v>
      </c>
      <c r="C72" s="14" t="s">
        <v>14</v>
      </c>
      <c r="D72" s="15"/>
    </row>
    <row r="73" spans="1:4" ht="21.95" customHeight="1">
      <c r="A73" s="15" t="s">
        <v>1330</v>
      </c>
      <c r="B73" s="15" t="s">
        <v>1405</v>
      </c>
      <c r="C73" s="14" t="s">
        <v>14</v>
      </c>
      <c r="D73" s="15"/>
    </row>
    <row r="74" spans="1:4" ht="21.95" customHeight="1">
      <c r="A74" s="15" t="s">
        <v>1330</v>
      </c>
      <c r="B74" s="15" t="s">
        <v>1406</v>
      </c>
      <c r="C74" s="14" t="s">
        <v>14</v>
      </c>
      <c r="D74" s="15"/>
    </row>
    <row r="75" spans="1:4" ht="36" customHeight="1">
      <c r="A75" s="15" t="s">
        <v>1330</v>
      </c>
      <c r="B75" s="15" t="s">
        <v>1407</v>
      </c>
      <c r="C75" s="14" t="s">
        <v>14</v>
      </c>
      <c r="D75" s="15"/>
    </row>
    <row r="76" spans="1:4" ht="21.95" customHeight="1">
      <c r="A76" s="15" t="s">
        <v>1330</v>
      </c>
      <c r="B76" s="15" t="s">
        <v>1408</v>
      </c>
      <c r="C76" s="14" t="s">
        <v>14</v>
      </c>
      <c r="D76" s="15"/>
    </row>
    <row r="77" spans="1:4" ht="21.95" customHeight="1">
      <c r="A77" s="15" t="s">
        <v>1330</v>
      </c>
      <c r="B77" s="15" t="s">
        <v>1409</v>
      </c>
      <c r="C77" s="14" t="s">
        <v>14</v>
      </c>
      <c r="D77" s="15"/>
    </row>
    <row r="78" spans="1:4" ht="21.95" customHeight="1">
      <c r="A78" s="15" t="s">
        <v>1330</v>
      </c>
      <c r="B78" s="15" t="s">
        <v>1410</v>
      </c>
      <c r="C78" s="14" t="s">
        <v>14</v>
      </c>
      <c r="D78" s="15"/>
    </row>
    <row r="79" spans="1:4" ht="21.95" customHeight="1">
      <c r="A79" s="15" t="s">
        <v>1330</v>
      </c>
      <c r="B79" s="15" t="s">
        <v>1411</v>
      </c>
      <c r="C79" s="14" t="s">
        <v>14</v>
      </c>
      <c r="D79" s="15"/>
    </row>
    <row r="80" spans="1:4" ht="21.95" customHeight="1">
      <c r="A80" s="15" t="s">
        <v>1330</v>
      </c>
      <c r="B80" s="15" t="s">
        <v>1412</v>
      </c>
      <c r="C80" s="14" t="s">
        <v>14</v>
      </c>
      <c r="D80" s="15"/>
    </row>
    <row r="81" spans="1:4" ht="21.95" customHeight="1">
      <c r="A81" s="15" t="s">
        <v>1330</v>
      </c>
      <c r="B81" s="15" t="s">
        <v>1413</v>
      </c>
      <c r="C81" s="14" t="s">
        <v>14</v>
      </c>
      <c r="D81" s="15"/>
    </row>
    <row r="82" spans="1:4" ht="21.95" customHeight="1">
      <c r="A82" s="15" t="s">
        <v>1330</v>
      </c>
      <c r="B82" s="15" t="s">
        <v>1414</v>
      </c>
      <c r="C82" s="14" t="s">
        <v>14</v>
      </c>
      <c r="D82" s="15"/>
    </row>
    <row r="83" spans="1:4" ht="21.95" customHeight="1">
      <c r="A83" s="15" t="s">
        <v>1330</v>
      </c>
      <c r="B83" s="15" t="s">
        <v>1415</v>
      </c>
      <c r="C83" s="14" t="s">
        <v>14</v>
      </c>
      <c r="D83" s="15"/>
    </row>
    <row r="84" spans="1:4" ht="21.95" customHeight="1">
      <c r="A84" s="15" t="s">
        <v>1330</v>
      </c>
      <c r="B84" s="15" t="s">
        <v>1416</v>
      </c>
      <c r="C84" s="14" t="s">
        <v>14</v>
      </c>
      <c r="D84" s="15"/>
    </row>
    <row r="85" spans="1:4" ht="36" customHeight="1">
      <c r="A85" s="15" t="s">
        <v>1330</v>
      </c>
      <c r="B85" s="15" t="s">
        <v>1417</v>
      </c>
      <c r="C85" s="14" t="s">
        <v>14</v>
      </c>
      <c r="D85" s="15"/>
    </row>
    <row r="86" spans="1:4" ht="21.95" customHeight="1">
      <c r="A86" s="15" t="s">
        <v>1330</v>
      </c>
      <c r="B86" s="15" t="s">
        <v>1418</v>
      </c>
      <c r="C86" s="14" t="s">
        <v>14</v>
      </c>
      <c r="D86" s="15"/>
    </row>
    <row r="87" spans="1:4" ht="21.95" customHeight="1">
      <c r="A87" s="15" t="s">
        <v>1330</v>
      </c>
      <c r="B87" s="15" t="s">
        <v>1419</v>
      </c>
      <c r="C87" s="14" t="s">
        <v>14</v>
      </c>
      <c r="D87" s="15"/>
    </row>
    <row r="88" spans="1:4" ht="21.95" customHeight="1">
      <c r="A88" s="15" t="s">
        <v>1330</v>
      </c>
      <c r="B88" s="15" t="s">
        <v>1420</v>
      </c>
      <c r="C88" s="14" t="s">
        <v>14</v>
      </c>
      <c r="D88" s="15"/>
    </row>
    <row r="89" spans="1:4" ht="21.95" customHeight="1">
      <c r="A89" s="15" t="s">
        <v>1330</v>
      </c>
      <c r="B89" s="15" t="s">
        <v>1421</v>
      </c>
      <c r="C89" s="14" t="s">
        <v>14</v>
      </c>
      <c r="D89" s="15"/>
    </row>
    <row r="90" spans="1:4" ht="36" customHeight="1">
      <c r="A90" s="15" t="s">
        <v>1330</v>
      </c>
      <c r="B90" s="15" t="s">
        <v>1422</v>
      </c>
      <c r="C90" s="14" t="s">
        <v>14</v>
      </c>
      <c r="D90" s="15"/>
    </row>
    <row r="91" spans="1:4" ht="21.95" customHeight="1">
      <c r="A91" s="15" t="s">
        <v>1330</v>
      </c>
      <c r="B91" s="15" t="s">
        <v>1423</v>
      </c>
      <c r="C91" s="14" t="s">
        <v>14</v>
      </c>
      <c r="D91" s="15"/>
    </row>
    <row r="92" spans="1:4" ht="21.95" customHeight="1">
      <c r="A92" s="15" t="s">
        <v>1330</v>
      </c>
      <c r="B92" s="15" t="s">
        <v>1424</v>
      </c>
      <c r="C92" s="14" t="s">
        <v>14</v>
      </c>
      <c r="D92" s="15"/>
    </row>
    <row r="93" spans="1:4" ht="21.95" customHeight="1">
      <c r="A93" s="15" t="s">
        <v>1330</v>
      </c>
      <c r="B93" s="15" t="s">
        <v>1425</v>
      </c>
      <c r="C93" s="14" t="s">
        <v>14</v>
      </c>
      <c r="D93" s="15"/>
    </row>
    <row r="94" spans="1:4" ht="21.95" customHeight="1">
      <c r="A94" s="15" t="s">
        <v>1330</v>
      </c>
      <c r="B94" s="15" t="s">
        <v>1426</v>
      </c>
      <c r="C94" s="14" t="s">
        <v>14</v>
      </c>
      <c r="D94" s="15"/>
    </row>
    <row r="95" spans="1:4" ht="36" customHeight="1">
      <c r="A95" s="15" t="s">
        <v>1427</v>
      </c>
      <c r="B95" s="15" t="s">
        <v>1381</v>
      </c>
      <c r="C95" s="14" t="s">
        <v>14</v>
      </c>
      <c r="D95" s="15"/>
    </row>
    <row r="96" spans="1:4" ht="36" customHeight="1">
      <c r="A96" s="15" t="s">
        <v>1427</v>
      </c>
      <c r="B96" s="15" t="s">
        <v>1384</v>
      </c>
      <c r="C96" s="14" t="s">
        <v>14</v>
      </c>
      <c r="D96" s="15"/>
    </row>
    <row r="97" spans="1:4" ht="36" customHeight="1">
      <c r="A97" s="15" t="s">
        <v>1427</v>
      </c>
      <c r="B97" s="15" t="s">
        <v>1390</v>
      </c>
      <c r="C97" s="14" t="s">
        <v>14</v>
      </c>
      <c r="D97" s="15"/>
    </row>
    <row r="98" spans="1:4" ht="21.95" customHeight="1">
      <c r="A98" s="15" t="s">
        <v>1427</v>
      </c>
      <c r="B98" s="15" t="s">
        <v>1391</v>
      </c>
      <c r="C98" s="14" t="s">
        <v>14</v>
      </c>
      <c r="D98" s="15"/>
    </row>
    <row r="99" spans="1:4" ht="21.95" customHeight="1">
      <c r="A99" s="15" t="s">
        <v>1427</v>
      </c>
      <c r="B99" s="15" t="s">
        <v>1392</v>
      </c>
      <c r="C99" s="14" t="s">
        <v>14</v>
      </c>
      <c r="D99" s="15"/>
    </row>
    <row r="100" spans="1:4" ht="36" customHeight="1">
      <c r="A100" s="15" t="s">
        <v>1427</v>
      </c>
      <c r="B100" s="15" t="s">
        <v>1394</v>
      </c>
      <c r="C100" s="14" t="s">
        <v>14</v>
      </c>
      <c r="D100" s="15"/>
    </row>
    <row r="101" spans="1:4" ht="36" customHeight="1">
      <c r="A101" s="15" t="s">
        <v>1427</v>
      </c>
      <c r="B101" s="15" t="s">
        <v>1395</v>
      </c>
      <c r="C101" s="14" t="s">
        <v>14</v>
      </c>
      <c r="D101" s="15"/>
    </row>
  </sheetData>
  <autoFilter ref="A1:D101" xr:uid="{00000000-0009-0000-0000-000004000000}"/>
  <conditionalFormatting sqref="C2:C101">
    <cfRule type="cellIs" dxfId="4" priority="1" operator="equal">
      <formula>"Pass"</formula>
    </cfRule>
    <cfRule type="cellIs" dxfId="3" priority="2" operator="equal">
      <formula>"Fail"</formula>
    </cfRule>
    <cfRule type="cellIs" dxfId="2" priority="3" operator="equal">
      <formula>"Fail (TODO)"</formula>
    </cfRule>
    <cfRule type="cellIs" dxfId="1" priority="4" operator="equal">
      <formula>"Blocked"</formula>
    </cfRule>
    <cfRule type="cellIs" dxfId="0" priority="5" operator="equal">
      <formula>"Not Run"</formula>
    </cfRule>
  </conditionalFormatting>
  <dataValidations count="1">
    <dataValidation type="list" allowBlank="1" sqref="C2:C101" xr:uid="{00000000-0002-0000-0400-000000000000}">
      <formula1>"Pass,Fail,Fail (TODO),Blocked,Not Run"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/>
  <cols>
    <col min="1" max="1" width="16" customWidth="1"/>
    <col min="2" max="2" width="22" customWidth="1"/>
    <col min="3" max="3" width="80" customWidth="1"/>
    <col min="4" max="4" width="10" customWidth="1"/>
    <col min="5" max="5" width="50" customWidth="1"/>
  </cols>
  <sheetData>
    <row r="1" spans="1:5" ht="33.950000000000003" customHeight="1">
      <c r="A1" s="13" t="s">
        <v>1428</v>
      </c>
      <c r="B1" s="13" t="s">
        <v>1429</v>
      </c>
      <c r="C1" s="13" t="s">
        <v>1430</v>
      </c>
      <c r="D1" s="13" t="s">
        <v>1431</v>
      </c>
      <c r="E1" s="13" t="s">
        <v>1432</v>
      </c>
    </row>
    <row r="2" spans="1:5" ht="36" customHeight="1">
      <c r="A2" s="15" t="s">
        <v>1433</v>
      </c>
      <c r="B2" s="15" t="s">
        <v>1434</v>
      </c>
      <c r="C2" s="15" t="s">
        <v>1435</v>
      </c>
      <c r="D2" s="14" t="s">
        <v>1436</v>
      </c>
      <c r="E2" s="15" t="s">
        <v>1437</v>
      </c>
    </row>
    <row r="3" spans="1:5" ht="36" customHeight="1">
      <c r="A3" s="15" t="s">
        <v>1433</v>
      </c>
      <c r="B3" s="15" t="s">
        <v>1014</v>
      </c>
      <c r="C3" s="15" t="s">
        <v>1438</v>
      </c>
      <c r="D3" s="14" t="s">
        <v>1436</v>
      </c>
      <c r="E3" s="15" t="s">
        <v>1439</v>
      </c>
    </row>
    <row r="4" spans="1:5" ht="36" customHeight="1">
      <c r="A4" s="15" t="s">
        <v>1440</v>
      </c>
      <c r="B4" s="15" t="s">
        <v>1263</v>
      </c>
      <c r="C4" s="15" t="s">
        <v>1441</v>
      </c>
      <c r="D4" s="14" t="s">
        <v>1442</v>
      </c>
      <c r="E4" s="15" t="s">
        <v>1443</v>
      </c>
    </row>
    <row r="5" spans="1:5" ht="36" customHeight="1">
      <c r="A5" s="15" t="s">
        <v>1440</v>
      </c>
      <c r="B5" s="15" t="s">
        <v>1279</v>
      </c>
      <c r="C5" s="15" t="s">
        <v>1444</v>
      </c>
      <c r="D5" s="14" t="s">
        <v>1442</v>
      </c>
      <c r="E5" s="15" t="s">
        <v>1445</v>
      </c>
    </row>
    <row r="6" spans="1:5" ht="36" customHeight="1">
      <c r="A6" s="15" t="s">
        <v>1440</v>
      </c>
      <c r="B6" s="15" t="s">
        <v>1446</v>
      </c>
      <c r="C6" s="15" t="s">
        <v>1447</v>
      </c>
      <c r="D6" s="14" t="s">
        <v>1448</v>
      </c>
      <c r="E6" s="15" t="s">
        <v>1449</v>
      </c>
    </row>
    <row r="7" spans="1:5" ht="36" customHeight="1">
      <c r="A7" s="15" t="s">
        <v>1450</v>
      </c>
      <c r="B7" s="15" t="s">
        <v>1451</v>
      </c>
      <c r="C7" s="15" t="s">
        <v>1452</v>
      </c>
      <c r="D7" s="14" t="s">
        <v>1448</v>
      </c>
      <c r="E7" s="15" t="s">
        <v>1453</v>
      </c>
    </row>
    <row r="8" spans="1:5" ht="21.95" customHeight="1">
      <c r="A8" s="15" t="s">
        <v>1450</v>
      </c>
      <c r="B8" s="15" t="s">
        <v>1454</v>
      </c>
      <c r="C8" s="15" t="s">
        <v>1455</v>
      </c>
      <c r="D8" s="14" t="s">
        <v>1448</v>
      </c>
      <c r="E8" s="15" t="s">
        <v>1456</v>
      </c>
    </row>
    <row r="9" spans="1:5" ht="21.95" customHeight="1">
      <c r="A9" s="15" t="s">
        <v>1450</v>
      </c>
      <c r="B9" s="15" t="s">
        <v>1457</v>
      </c>
      <c r="C9" s="15" t="s">
        <v>1458</v>
      </c>
      <c r="D9" s="14" t="s">
        <v>1448</v>
      </c>
      <c r="E9" s="15" t="s">
        <v>1459</v>
      </c>
    </row>
    <row r="10" spans="1:5" ht="21.95" customHeight="1">
      <c r="A10" s="15" t="s">
        <v>1450</v>
      </c>
      <c r="B10" s="15" t="s">
        <v>1460</v>
      </c>
      <c r="C10" s="15" t="s">
        <v>1461</v>
      </c>
      <c r="D10" s="14" t="s">
        <v>1442</v>
      </c>
      <c r="E10" s="15" t="s">
        <v>1462</v>
      </c>
    </row>
    <row r="11" spans="1:5" ht="36" customHeight="1">
      <c r="A11" s="15" t="s">
        <v>1463</v>
      </c>
      <c r="B11" s="15" t="s">
        <v>1464</v>
      </c>
      <c r="C11" s="15" t="s">
        <v>1465</v>
      </c>
      <c r="D11" s="14" t="s">
        <v>1436</v>
      </c>
      <c r="E11" s="15" t="s">
        <v>1466</v>
      </c>
    </row>
    <row r="12" spans="1:5" ht="36" customHeight="1">
      <c r="A12" s="15" t="s">
        <v>1467</v>
      </c>
      <c r="B12" s="15" t="s">
        <v>1468</v>
      </c>
      <c r="C12" s="15" t="s">
        <v>1469</v>
      </c>
      <c r="D12" s="14" t="s">
        <v>1448</v>
      </c>
      <c r="E12" s="15" t="s">
        <v>1470</v>
      </c>
    </row>
    <row r="13" spans="1:5" ht="36" customHeight="1">
      <c r="A13" s="15" t="s">
        <v>1471</v>
      </c>
      <c r="B13" s="15" t="s">
        <v>1472</v>
      </c>
      <c r="C13" s="15" t="s">
        <v>1473</v>
      </c>
      <c r="D13" s="14" t="s">
        <v>1184</v>
      </c>
      <c r="E13" s="15" t="s">
        <v>1184</v>
      </c>
    </row>
  </sheetData>
  <autoFilter ref="A1:E13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สรุปผล</vt:lpstr>
      <vt:lpstr>Test Cases (เอกสาร)</vt:lpstr>
      <vt:lpstr>User Manual</vt:lpstr>
      <vt:lpstr>ขั้นตอนตาม Test Plan</vt:lpstr>
      <vt:lpstr>ผลที่ไม่อยู่ในเอกสาร</vt:lpstr>
      <vt:lpstr>ข้อค้นพบ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2026-10-25T10:48:51Z</dcterms:created>
  <dcterms:modified xsi:type="dcterms:W3CDTF">2026-10-25T11:07:54Z</dcterms:modified>
</cp:coreProperties>
</file>