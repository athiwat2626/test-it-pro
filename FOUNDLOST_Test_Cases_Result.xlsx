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" sheetId="1" state="visible" r:id="rId1"/>
    <sheet name="Test Cases" sheetId="2" state="visible" r:id="rId2"/>
    <sheet name="Requirements" sheetId="3" state="visible" r:id="rId3"/>
    <sheet name="หลักฐานการทดสอบ" sheetId="4" state="visible" r:id="rId4"/>
  </sheets>
  <definedNames>
    <definedName name="_xlnm._FilterDatabase" localSheetId="1" hidden="1">'Test Cases'!$A$1:$O$83</definedName>
    <definedName name="_xlnm.Print_Titles" localSheetId="1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7">
    <font>
      <name val="Calibri"/>
      <family val="2"/>
      <color theme="1"/>
      <sz val="11"/>
      <scheme val="minor"/>
    </font>
    <font>
      <name val="TH Sarabun New"/>
      <b val="1"/>
      <color rgb="00FFFFFF"/>
      <sz val="15"/>
    </font>
    <font>
      <name val="TH Sarabun New"/>
      <sz val="14"/>
    </font>
    <font>
      <name val="TH Sarabun New"/>
      <b val="1"/>
      <color rgb="001F5F3F"/>
      <sz val="22"/>
    </font>
    <font>
      <name val="TH Sarabun New"/>
      <b val="1"/>
      <sz val="14"/>
    </font>
    <font>
      <name val="TH Sarabun New"/>
      <i val="1"/>
      <color rgb="00595959"/>
      <sz val="13"/>
    </font>
    <font>
      <name val="TH Sarabun New"/>
      <b val="1"/>
      <color rgb="001F5F3F"/>
      <sz val="20"/>
    </font>
  </fonts>
  <fills count="4">
    <fill>
      <patternFill/>
    </fill>
    <fill>
      <patternFill patternType="gray125"/>
    </fill>
    <fill>
      <patternFill patternType="solid">
        <fgColor rgb="001F5F3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  <border>
      <bottom style="thin">
        <color rgb="00B7C4D1"/>
      </bottom>
    </border>
    <border>
      <left/>
      <right/>
      <top/>
      <bottom style="thin">
        <color rgb="00B7C4D1"/>
      </bottom>
      <diagonal/>
    </border>
    <border>
      <right/>
      <bottom style="thin">
        <color rgb="00B7C4D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164" fontId="2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4" pivotButton="0" quotePrefix="0" xfId="0"/>
  </cellXfs>
  <cellStyles count="1">
    <cellStyle name="Normal" xfId="0" builtinId="0" hidden="0"/>
  </cellStyles>
  <dxfs count="4">
    <dxf>
      <font>
        <name val="TH Sarabun New"/>
        <b val="1"/>
        <color rgb="00006100"/>
      </font>
      <fill>
        <patternFill patternType="solid">
          <fgColor rgb="00C6EFCE"/>
        </patternFill>
      </fill>
    </dxf>
    <dxf>
      <font>
        <name val="TH Sarabun New"/>
        <b val="1"/>
        <color rgb="009C0006"/>
      </font>
      <fill>
        <patternFill patternType="solid">
          <fgColor rgb="00FFC7CE"/>
        </patternFill>
      </fill>
    </dxf>
    <dxf>
      <font>
        <name val="TH Sarabun New"/>
        <b val="1"/>
        <color rgb="009C5700"/>
      </font>
      <fill>
        <patternFill patternType="solid">
          <fgColor rgb="00FFEB9C"/>
        </patternFill>
      </fill>
    </dxf>
    <dxf>
      <font>
        <name val="TH Sarabun New"/>
        <b val="1"/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KU Lost &amp; Found (FOUNDLOST) — สรุปผลการทดสอบ</t>
        </is>
      </c>
    </row>
    <row r="3">
      <c r="A3" s="2" t="inlineStr">
        <is>
          <t>ระบบ</t>
        </is>
      </c>
      <c r="B3" s="24" t="inlineStr">
        <is>
          <t>KU Lost &amp; Found — ระบบแจ้งของหาย/ของพบ</t>
        </is>
      </c>
      <c r="C3" s="18" t="n"/>
      <c r="D3" s="18" t="n"/>
      <c r="E3" s="18" t="n"/>
      <c r="F3" s="18" t="n"/>
      <c r="G3" s="18" t="n"/>
    </row>
    <row r="4">
      <c r="A4" s="2" t="inlineStr">
        <is>
          <t>อ้างอิงข้อกำหนด</t>
        </is>
      </c>
      <c r="B4" s="24" t="inlineStr">
        <is>
          <t>docs/REQUIREMENTS_BASELINE.md (FR-01 ถึง FR-15, NFR)</t>
        </is>
      </c>
      <c r="C4" s="18" t="n"/>
      <c r="D4" s="18" t="n"/>
      <c r="E4" s="18" t="n"/>
      <c r="F4" s="18" t="n"/>
      <c r="G4" s="18" t="n"/>
    </row>
    <row r="5">
      <c r="A5" s="2" t="inlineStr">
        <is>
          <t>รอบการทดสอบ</t>
        </is>
      </c>
      <c r="B5" s="24" t="inlineStr">
        <is>
          <t>Round 1</t>
        </is>
      </c>
      <c r="C5" s="18" t="n"/>
      <c r="D5" s="18" t="n"/>
      <c r="E5" s="18" t="n"/>
      <c r="F5" s="18" t="n"/>
      <c r="G5" s="18" t="n"/>
    </row>
    <row r="6">
      <c r="A6" s="2" t="inlineStr">
        <is>
          <t>สภาพแวดล้อม</t>
        </is>
      </c>
      <c r="B6" s="24" t="inlineStr">
        <is>
          <t>ฐานข้อมูลทดสอบแยกในหน่วยความจำ (PGlite) + Microsoft Edge (Playwright) บน Windows 10 — ไม่แตะฐานข้อมูลจริง ไม่ส่งอีเมลจริง</t>
        </is>
      </c>
      <c r="C6" s="18" t="n"/>
      <c r="D6" s="18" t="n"/>
      <c r="E6" s="18" t="n"/>
      <c r="F6" s="18" t="n"/>
      <c r="G6" s="18" t="n"/>
    </row>
    <row r="7">
      <c r="A7" s="2" t="inlineStr">
        <is>
          <t>ผู้ทดสอบ</t>
        </is>
      </c>
      <c r="B7" s="24" t="inlineStr">
        <is>
          <t>Claude (ทดสอบอัตโนมัติ)</t>
        </is>
      </c>
      <c r="C7" s="18" t="n"/>
      <c r="D7" s="18" t="n"/>
      <c r="E7" s="18" t="n"/>
      <c r="F7" s="18" t="n"/>
      <c r="G7" s="18" t="n"/>
    </row>
    <row r="8">
      <c r="A8" s="2" t="inlineStr">
        <is>
          <t>วันที่เริ่ม / สิ้นสุด</t>
        </is>
      </c>
      <c r="B8" s="24" t="inlineStr">
        <is>
          <t>25/10/2026</t>
        </is>
      </c>
      <c r="C8" s="18" t="n"/>
      <c r="D8" s="18" t="n"/>
      <c r="E8" s="18" t="n"/>
      <c r="F8" s="18" t="n"/>
      <c r="G8" s="18" t="n"/>
    </row>
    <row r="11">
      <c r="A11" s="4" t="inlineStr">
        <is>
          <t>Requirement</t>
        </is>
      </c>
      <c r="B11" s="4" t="inlineStr">
        <is>
          <t>ทั้งหมด</t>
        </is>
      </c>
      <c r="C11" s="4" t="inlineStr">
        <is>
          <t>Pass</t>
        </is>
      </c>
      <c r="D11" s="4" t="inlineStr">
        <is>
          <t>Fail</t>
        </is>
      </c>
      <c r="E11" s="4" t="inlineStr">
        <is>
          <t>Blocked</t>
        </is>
      </c>
      <c r="F11" s="4" t="inlineStr">
        <is>
          <t>Not Run</t>
        </is>
      </c>
      <c r="G11" s="4" t="inlineStr">
        <is>
          <t>% ผ่าน</t>
        </is>
      </c>
    </row>
    <row r="12">
      <c r="A12" s="5" t="inlineStr">
        <is>
          <t>FR-01</t>
        </is>
      </c>
      <c r="B12" s="6">
        <f>COUNTIF('Test Cases'!$B$2:$B$283,A12)</f>
        <v/>
      </c>
      <c r="C12" s="6">
        <f>COUNTIFS('Test Cases'!$B$2:$B$283,$A12,'Test Cases'!$J$2:$J$283,"Pass")</f>
        <v/>
      </c>
      <c r="D12" s="6">
        <f>COUNTIFS('Test Cases'!$B$2:$B$283,$A12,'Test Cases'!$J$2:$J$283,"Fail")</f>
        <v/>
      </c>
      <c r="E12" s="6">
        <f>COUNTIFS('Test Cases'!$B$2:$B$283,$A12,'Test Cases'!$J$2:$J$283,"Blocked")</f>
        <v/>
      </c>
      <c r="F12" s="6">
        <f>COUNTIFS('Test Cases'!$B$2:$B$283,$A12,'Test Cases'!$J$2:$J$283,"Not Run")</f>
        <v/>
      </c>
      <c r="G12" s="19">
        <f>IF((C12+D12)=0,"-",C12/(C12+D12))</f>
        <v/>
      </c>
    </row>
    <row r="13">
      <c r="A13" s="5" t="inlineStr">
        <is>
          <t>FR-02</t>
        </is>
      </c>
      <c r="B13" s="6">
        <f>COUNTIF('Test Cases'!$B$2:$B$283,A13)</f>
        <v/>
      </c>
      <c r="C13" s="6">
        <f>COUNTIFS('Test Cases'!$B$2:$B$283,$A13,'Test Cases'!$J$2:$J$283,"Pass")</f>
        <v/>
      </c>
      <c r="D13" s="6">
        <f>COUNTIFS('Test Cases'!$B$2:$B$283,$A13,'Test Cases'!$J$2:$J$283,"Fail")</f>
        <v/>
      </c>
      <c r="E13" s="6">
        <f>COUNTIFS('Test Cases'!$B$2:$B$283,$A13,'Test Cases'!$J$2:$J$283,"Blocked")</f>
        <v/>
      </c>
      <c r="F13" s="6">
        <f>COUNTIFS('Test Cases'!$B$2:$B$283,$A13,'Test Cases'!$J$2:$J$283,"Not Run")</f>
        <v/>
      </c>
      <c r="G13" s="19">
        <f>IF((C13+D13)=0,"-",C13/(C13+D13))</f>
        <v/>
      </c>
    </row>
    <row r="14">
      <c r="A14" s="5" t="inlineStr">
        <is>
          <t>FR-03</t>
        </is>
      </c>
      <c r="B14" s="6">
        <f>COUNTIF('Test Cases'!$B$2:$B$283,A14)</f>
        <v/>
      </c>
      <c r="C14" s="6">
        <f>COUNTIFS('Test Cases'!$B$2:$B$283,$A14,'Test Cases'!$J$2:$J$283,"Pass")</f>
        <v/>
      </c>
      <c r="D14" s="6">
        <f>COUNTIFS('Test Cases'!$B$2:$B$283,$A14,'Test Cases'!$J$2:$J$283,"Fail")</f>
        <v/>
      </c>
      <c r="E14" s="6">
        <f>COUNTIFS('Test Cases'!$B$2:$B$283,$A14,'Test Cases'!$J$2:$J$283,"Blocked")</f>
        <v/>
      </c>
      <c r="F14" s="6">
        <f>COUNTIFS('Test Cases'!$B$2:$B$283,$A14,'Test Cases'!$J$2:$J$283,"Not Run")</f>
        <v/>
      </c>
      <c r="G14" s="19">
        <f>IF((C14+D14)=0,"-",C14/(C14+D14))</f>
        <v/>
      </c>
    </row>
    <row r="15">
      <c r="A15" s="5" t="inlineStr">
        <is>
          <t>FR-04</t>
        </is>
      </c>
      <c r="B15" s="6">
        <f>COUNTIF('Test Cases'!$B$2:$B$283,A15)</f>
        <v/>
      </c>
      <c r="C15" s="6">
        <f>COUNTIFS('Test Cases'!$B$2:$B$283,$A15,'Test Cases'!$J$2:$J$283,"Pass")</f>
        <v/>
      </c>
      <c r="D15" s="6">
        <f>COUNTIFS('Test Cases'!$B$2:$B$283,$A15,'Test Cases'!$J$2:$J$283,"Fail")</f>
        <v/>
      </c>
      <c r="E15" s="6">
        <f>COUNTIFS('Test Cases'!$B$2:$B$283,$A15,'Test Cases'!$J$2:$J$283,"Blocked")</f>
        <v/>
      </c>
      <c r="F15" s="6">
        <f>COUNTIFS('Test Cases'!$B$2:$B$283,$A15,'Test Cases'!$J$2:$J$283,"Not Run")</f>
        <v/>
      </c>
      <c r="G15" s="19">
        <f>IF((C15+D15)=0,"-",C15/(C15+D15))</f>
        <v/>
      </c>
    </row>
    <row r="16">
      <c r="A16" s="5" t="inlineStr">
        <is>
          <t>FR-05</t>
        </is>
      </c>
      <c r="B16" s="6">
        <f>COUNTIF('Test Cases'!$B$2:$B$283,A16)</f>
        <v/>
      </c>
      <c r="C16" s="6">
        <f>COUNTIFS('Test Cases'!$B$2:$B$283,$A16,'Test Cases'!$J$2:$J$283,"Pass")</f>
        <v/>
      </c>
      <c r="D16" s="6">
        <f>COUNTIFS('Test Cases'!$B$2:$B$283,$A16,'Test Cases'!$J$2:$J$283,"Fail")</f>
        <v/>
      </c>
      <c r="E16" s="6">
        <f>COUNTIFS('Test Cases'!$B$2:$B$283,$A16,'Test Cases'!$J$2:$J$283,"Blocked")</f>
        <v/>
      </c>
      <c r="F16" s="6">
        <f>COUNTIFS('Test Cases'!$B$2:$B$283,$A16,'Test Cases'!$J$2:$J$283,"Not Run")</f>
        <v/>
      </c>
      <c r="G16" s="19">
        <f>IF((C16+D16)=0,"-",C16/(C16+D16))</f>
        <v/>
      </c>
    </row>
    <row r="17">
      <c r="A17" s="5" t="inlineStr">
        <is>
          <t>FR-06</t>
        </is>
      </c>
      <c r="B17" s="6">
        <f>COUNTIF('Test Cases'!$B$2:$B$283,A17)</f>
        <v/>
      </c>
      <c r="C17" s="6">
        <f>COUNTIFS('Test Cases'!$B$2:$B$283,$A17,'Test Cases'!$J$2:$J$283,"Pass")</f>
        <v/>
      </c>
      <c r="D17" s="6">
        <f>COUNTIFS('Test Cases'!$B$2:$B$283,$A17,'Test Cases'!$J$2:$J$283,"Fail")</f>
        <v/>
      </c>
      <c r="E17" s="6">
        <f>COUNTIFS('Test Cases'!$B$2:$B$283,$A17,'Test Cases'!$J$2:$J$283,"Blocked")</f>
        <v/>
      </c>
      <c r="F17" s="6">
        <f>COUNTIFS('Test Cases'!$B$2:$B$283,$A17,'Test Cases'!$J$2:$J$283,"Not Run")</f>
        <v/>
      </c>
      <c r="G17" s="19">
        <f>IF((C17+D17)=0,"-",C17/(C17+D17))</f>
        <v/>
      </c>
    </row>
    <row r="18">
      <c r="A18" s="5" t="inlineStr">
        <is>
          <t>FR-07</t>
        </is>
      </c>
      <c r="B18" s="6">
        <f>COUNTIF('Test Cases'!$B$2:$B$283,A18)</f>
        <v/>
      </c>
      <c r="C18" s="6">
        <f>COUNTIFS('Test Cases'!$B$2:$B$283,$A18,'Test Cases'!$J$2:$J$283,"Pass")</f>
        <v/>
      </c>
      <c r="D18" s="6">
        <f>COUNTIFS('Test Cases'!$B$2:$B$283,$A18,'Test Cases'!$J$2:$J$283,"Fail")</f>
        <v/>
      </c>
      <c r="E18" s="6">
        <f>COUNTIFS('Test Cases'!$B$2:$B$283,$A18,'Test Cases'!$J$2:$J$283,"Blocked")</f>
        <v/>
      </c>
      <c r="F18" s="6">
        <f>COUNTIFS('Test Cases'!$B$2:$B$283,$A18,'Test Cases'!$J$2:$J$283,"Not Run")</f>
        <v/>
      </c>
      <c r="G18" s="19">
        <f>IF((C18+D18)=0,"-",C18/(C18+D18))</f>
        <v/>
      </c>
    </row>
    <row r="19">
      <c r="A19" s="5" t="inlineStr">
        <is>
          <t>FR-08</t>
        </is>
      </c>
      <c r="B19" s="6">
        <f>COUNTIF('Test Cases'!$B$2:$B$283,A19)</f>
        <v/>
      </c>
      <c r="C19" s="6">
        <f>COUNTIFS('Test Cases'!$B$2:$B$283,$A19,'Test Cases'!$J$2:$J$283,"Pass")</f>
        <v/>
      </c>
      <c r="D19" s="6">
        <f>COUNTIFS('Test Cases'!$B$2:$B$283,$A19,'Test Cases'!$J$2:$J$283,"Fail")</f>
        <v/>
      </c>
      <c r="E19" s="6">
        <f>COUNTIFS('Test Cases'!$B$2:$B$283,$A19,'Test Cases'!$J$2:$J$283,"Blocked")</f>
        <v/>
      </c>
      <c r="F19" s="6">
        <f>COUNTIFS('Test Cases'!$B$2:$B$283,$A19,'Test Cases'!$J$2:$J$283,"Not Run")</f>
        <v/>
      </c>
      <c r="G19" s="19">
        <f>IF((C19+D19)=0,"-",C19/(C19+D19))</f>
        <v/>
      </c>
    </row>
    <row r="20">
      <c r="A20" s="5" t="inlineStr">
        <is>
          <t>FR-09</t>
        </is>
      </c>
      <c r="B20" s="6">
        <f>COUNTIF('Test Cases'!$B$2:$B$283,A20)</f>
        <v/>
      </c>
      <c r="C20" s="6">
        <f>COUNTIFS('Test Cases'!$B$2:$B$283,$A20,'Test Cases'!$J$2:$J$283,"Pass")</f>
        <v/>
      </c>
      <c r="D20" s="6">
        <f>COUNTIFS('Test Cases'!$B$2:$B$283,$A20,'Test Cases'!$J$2:$J$283,"Fail")</f>
        <v/>
      </c>
      <c r="E20" s="6">
        <f>COUNTIFS('Test Cases'!$B$2:$B$283,$A20,'Test Cases'!$J$2:$J$283,"Blocked")</f>
        <v/>
      </c>
      <c r="F20" s="6">
        <f>COUNTIFS('Test Cases'!$B$2:$B$283,$A20,'Test Cases'!$J$2:$J$283,"Not Run")</f>
        <v/>
      </c>
      <c r="G20" s="19">
        <f>IF((C20+D20)=0,"-",C20/(C20+D20))</f>
        <v/>
      </c>
    </row>
    <row r="21">
      <c r="A21" s="5" t="inlineStr">
        <is>
          <t>FR-10</t>
        </is>
      </c>
      <c r="B21" s="6">
        <f>COUNTIF('Test Cases'!$B$2:$B$283,A21)</f>
        <v/>
      </c>
      <c r="C21" s="6">
        <f>COUNTIFS('Test Cases'!$B$2:$B$283,$A21,'Test Cases'!$J$2:$J$283,"Pass")</f>
        <v/>
      </c>
      <c r="D21" s="6">
        <f>COUNTIFS('Test Cases'!$B$2:$B$283,$A21,'Test Cases'!$J$2:$J$283,"Fail")</f>
        <v/>
      </c>
      <c r="E21" s="6">
        <f>COUNTIFS('Test Cases'!$B$2:$B$283,$A21,'Test Cases'!$J$2:$J$283,"Blocked")</f>
        <v/>
      </c>
      <c r="F21" s="6">
        <f>COUNTIFS('Test Cases'!$B$2:$B$283,$A21,'Test Cases'!$J$2:$J$283,"Not Run")</f>
        <v/>
      </c>
      <c r="G21" s="19">
        <f>IF((C21+D21)=0,"-",C21/(C21+D21))</f>
        <v/>
      </c>
    </row>
    <row r="22">
      <c r="A22" s="5" t="inlineStr">
        <is>
          <t>FR-11</t>
        </is>
      </c>
      <c r="B22" s="6">
        <f>COUNTIF('Test Cases'!$B$2:$B$283,A22)</f>
        <v/>
      </c>
      <c r="C22" s="6">
        <f>COUNTIFS('Test Cases'!$B$2:$B$283,$A22,'Test Cases'!$J$2:$J$283,"Pass")</f>
        <v/>
      </c>
      <c r="D22" s="6">
        <f>COUNTIFS('Test Cases'!$B$2:$B$283,$A22,'Test Cases'!$J$2:$J$283,"Fail")</f>
        <v/>
      </c>
      <c r="E22" s="6">
        <f>COUNTIFS('Test Cases'!$B$2:$B$283,$A22,'Test Cases'!$J$2:$J$283,"Blocked")</f>
        <v/>
      </c>
      <c r="F22" s="6">
        <f>COUNTIFS('Test Cases'!$B$2:$B$283,$A22,'Test Cases'!$J$2:$J$283,"Not Run")</f>
        <v/>
      </c>
      <c r="G22" s="19">
        <f>IF((C22+D22)=0,"-",C22/(C22+D22))</f>
        <v/>
      </c>
    </row>
    <row r="23">
      <c r="A23" s="5" t="inlineStr">
        <is>
          <t>FR-12</t>
        </is>
      </c>
      <c r="B23" s="6">
        <f>COUNTIF('Test Cases'!$B$2:$B$283,A23)</f>
        <v/>
      </c>
      <c r="C23" s="6">
        <f>COUNTIFS('Test Cases'!$B$2:$B$283,$A23,'Test Cases'!$J$2:$J$283,"Pass")</f>
        <v/>
      </c>
      <c r="D23" s="6">
        <f>COUNTIFS('Test Cases'!$B$2:$B$283,$A23,'Test Cases'!$J$2:$J$283,"Fail")</f>
        <v/>
      </c>
      <c r="E23" s="6">
        <f>COUNTIFS('Test Cases'!$B$2:$B$283,$A23,'Test Cases'!$J$2:$J$283,"Blocked")</f>
        <v/>
      </c>
      <c r="F23" s="6">
        <f>COUNTIFS('Test Cases'!$B$2:$B$283,$A23,'Test Cases'!$J$2:$J$283,"Not Run")</f>
        <v/>
      </c>
      <c r="G23" s="19">
        <f>IF((C23+D23)=0,"-",C23/(C23+D23))</f>
        <v/>
      </c>
    </row>
    <row r="24">
      <c r="A24" s="5" t="inlineStr">
        <is>
          <t>FR-13</t>
        </is>
      </c>
      <c r="B24" s="6">
        <f>COUNTIF('Test Cases'!$B$2:$B$283,A24)</f>
        <v/>
      </c>
      <c r="C24" s="6">
        <f>COUNTIFS('Test Cases'!$B$2:$B$283,$A24,'Test Cases'!$J$2:$J$283,"Pass")</f>
        <v/>
      </c>
      <c r="D24" s="6">
        <f>COUNTIFS('Test Cases'!$B$2:$B$283,$A24,'Test Cases'!$J$2:$J$283,"Fail")</f>
        <v/>
      </c>
      <c r="E24" s="6">
        <f>COUNTIFS('Test Cases'!$B$2:$B$283,$A24,'Test Cases'!$J$2:$J$283,"Blocked")</f>
        <v/>
      </c>
      <c r="F24" s="6">
        <f>COUNTIFS('Test Cases'!$B$2:$B$283,$A24,'Test Cases'!$J$2:$J$283,"Not Run")</f>
        <v/>
      </c>
      <c r="G24" s="19">
        <f>IF((C24+D24)=0,"-",C24/(C24+D24))</f>
        <v/>
      </c>
    </row>
    <row r="25">
      <c r="A25" s="5" t="inlineStr">
        <is>
          <t>FR-14</t>
        </is>
      </c>
      <c r="B25" s="6">
        <f>COUNTIF('Test Cases'!$B$2:$B$283,A25)</f>
        <v/>
      </c>
      <c r="C25" s="6">
        <f>COUNTIFS('Test Cases'!$B$2:$B$283,$A25,'Test Cases'!$J$2:$J$283,"Pass")</f>
        <v/>
      </c>
      <c r="D25" s="6">
        <f>COUNTIFS('Test Cases'!$B$2:$B$283,$A25,'Test Cases'!$J$2:$J$283,"Fail")</f>
        <v/>
      </c>
      <c r="E25" s="6">
        <f>COUNTIFS('Test Cases'!$B$2:$B$283,$A25,'Test Cases'!$J$2:$J$283,"Blocked")</f>
        <v/>
      </c>
      <c r="F25" s="6">
        <f>COUNTIFS('Test Cases'!$B$2:$B$283,$A25,'Test Cases'!$J$2:$J$283,"Not Run")</f>
        <v/>
      </c>
      <c r="G25" s="19">
        <f>IF((C25+D25)=0,"-",C25/(C25+D25))</f>
        <v/>
      </c>
    </row>
    <row r="26">
      <c r="A26" s="5" t="inlineStr">
        <is>
          <t>FR-15</t>
        </is>
      </c>
      <c r="B26" s="6">
        <f>COUNTIF('Test Cases'!$B$2:$B$283,A26)</f>
        <v/>
      </c>
      <c r="C26" s="6">
        <f>COUNTIFS('Test Cases'!$B$2:$B$283,$A26,'Test Cases'!$J$2:$J$283,"Pass")</f>
        <v/>
      </c>
      <c r="D26" s="6">
        <f>COUNTIFS('Test Cases'!$B$2:$B$283,$A26,'Test Cases'!$J$2:$J$283,"Fail")</f>
        <v/>
      </c>
      <c r="E26" s="6">
        <f>COUNTIFS('Test Cases'!$B$2:$B$283,$A26,'Test Cases'!$J$2:$J$283,"Blocked")</f>
        <v/>
      </c>
      <c r="F26" s="6">
        <f>COUNTIFS('Test Cases'!$B$2:$B$283,$A26,'Test Cases'!$J$2:$J$283,"Not Run")</f>
        <v/>
      </c>
      <c r="G26" s="19">
        <f>IF((C26+D26)=0,"-",C26/(C26+D26))</f>
        <v/>
      </c>
    </row>
    <row r="27">
      <c r="A27" s="5" t="inlineStr">
        <is>
          <t>NFR</t>
        </is>
      </c>
      <c r="B27" s="6">
        <f>COUNTIF('Test Cases'!$B$2:$B$283,A27)</f>
        <v/>
      </c>
      <c r="C27" s="6">
        <f>COUNTIFS('Test Cases'!$B$2:$B$283,$A27,'Test Cases'!$J$2:$J$283,"Pass")</f>
        <v/>
      </c>
      <c r="D27" s="6">
        <f>COUNTIFS('Test Cases'!$B$2:$B$283,$A27,'Test Cases'!$J$2:$J$283,"Fail")</f>
        <v/>
      </c>
      <c r="E27" s="6">
        <f>COUNTIFS('Test Cases'!$B$2:$B$283,$A27,'Test Cases'!$J$2:$J$283,"Blocked")</f>
        <v/>
      </c>
      <c r="F27" s="6">
        <f>COUNTIFS('Test Cases'!$B$2:$B$283,$A27,'Test Cases'!$J$2:$J$283,"Not Run")</f>
        <v/>
      </c>
      <c r="G27" s="19">
        <f>IF((C27+D27)=0,"-",C27/(C27+D27))</f>
        <v/>
      </c>
    </row>
    <row r="28">
      <c r="A28" s="8" t="inlineStr">
        <is>
          <t>รวม</t>
        </is>
      </c>
      <c r="B28" s="9">
        <f>SUM(B12:B27)</f>
        <v/>
      </c>
      <c r="C28" s="9">
        <f>SUM(C12:C27)</f>
        <v/>
      </c>
      <c r="D28" s="9">
        <f>SUM(D12:D27)</f>
        <v/>
      </c>
      <c r="E28" s="9">
        <f>SUM(E12:E27)</f>
        <v/>
      </c>
      <c r="F28" s="9">
        <f>SUM(F12:F27)</f>
        <v/>
      </c>
      <c r="G28" s="20">
        <f>IF((C28+D28)=0,"-",C28/(C28+D28))</f>
        <v/>
      </c>
    </row>
    <row r="30">
      <c r="A30" s="11" t="inlineStr">
        <is>
          <t>% ผ่าน = Pass ÷ (Pass + Fail) ของกรณีที่รันแล้ว — ตัวเลขทุกช่องคำนวณอัตโนมัติจากชีต Test Cases</t>
        </is>
      </c>
    </row>
    <row r="32">
      <c r="A32" s="12" t="inlineStr">
        <is>
          <t>ผู้ทดสอบ: ______________________   วันที่: ____________</t>
        </is>
      </c>
    </row>
    <row r="34">
      <c r="A34" s="12" t="inlineStr">
        <is>
          <t>ผู้ตรวจสอบ: ______________________   วันที่: ____________</t>
        </is>
      </c>
    </row>
    <row r="36">
      <c r="A36" s="12" t="inlineStr">
        <is>
          <t>ผู้อนุมัติ: ______________________   วันที่: ____________</t>
        </is>
      </c>
    </row>
  </sheetData>
  <mergeCells count="6">
    <mergeCell ref="B3:G3"/>
    <mergeCell ref="B5:G5"/>
    <mergeCell ref="B8:G8"/>
    <mergeCell ref="B4:G4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30" customWidth="1" min="5" max="5"/>
    <col width="44" customWidth="1" min="6" max="6"/>
    <col width="28" customWidth="1" min="7" max="7"/>
    <col width="42" customWidth="1" min="8" max="8"/>
    <col width="30" customWidth="1" min="9" max="9"/>
    <col width="12" customWidth="1" min="10" max="10"/>
    <col width="11" customWidth="1" min="11" max="11"/>
    <col width="12" customWidth="1" min="12" max="12"/>
    <col width="14" customWidth="1" min="13" max="13"/>
    <col width="13" customWidth="1" min="14" max="14"/>
    <col width="22" customWidth="1" min="15" max="15"/>
  </cols>
  <sheetData>
    <row r="1" ht="36" customHeight="1">
      <c r="A1" s="13" t="inlineStr">
        <is>
          <t>Test Case ID</t>
        </is>
      </c>
      <c r="B1" s="13" t="inlineStr">
        <is>
          <t>Requirement</t>
        </is>
      </c>
      <c r="C1" s="13" t="inlineStr">
        <is>
          <t>โมดูล</t>
        </is>
      </c>
      <c r="D1" s="13" t="inlineStr">
        <is>
          <t>หัวข้อทดสอบ (Scenario)</t>
        </is>
      </c>
      <c r="E1" s="13" t="inlineStr">
        <is>
          <t>เงื่อนไขก่อนทดสอบ</t>
        </is>
      </c>
      <c r="F1" s="13" t="inlineStr">
        <is>
          <t>ขั้นตอนการทดสอบ</t>
        </is>
      </c>
      <c r="G1" s="13" t="inlineStr">
        <is>
          <t>ข้อมูลทดสอบ</t>
        </is>
      </c>
      <c r="H1" s="13" t="inlineStr">
        <is>
          <t>ผลที่คาดหวัง</t>
        </is>
      </c>
      <c r="I1" s="13" t="inlineStr">
        <is>
          <t>ผลจริง</t>
        </is>
      </c>
      <c r="J1" s="13" t="inlineStr">
        <is>
          <t>สถานะ</t>
        </is>
      </c>
      <c r="K1" s="13" t="inlineStr">
        <is>
          <t>ความสำคัญ</t>
        </is>
      </c>
      <c r="L1" s="13" t="inlineStr">
        <is>
          <t>ประเภท</t>
        </is>
      </c>
      <c r="M1" s="13" t="inlineStr">
        <is>
          <t>ผู้ทดสอบ</t>
        </is>
      </c>
      <c r="N1" s="13" t="inlineStr">
        <is>
          <t>วันที่ทดสอบ</t>
        </is>
      </c>
      <c r="O1" s="13" t="inlineStr">
        <is>
          <t>Bug ID / หมายเหตุ</t>
        </is>
      </c>
    </row>
    <row r="2" ht="80" customHeight="1">
      <c r="A2" s="14" t="inlineStr">
        <is>
          <t>TC-FR01-01</t>
        </is>
      </c>
      <c r="B2" s="14" t="inlineStr">
        <is>
          <t>FR-01</t>
        </is>
      </c>
      <c r="C2" s="15" t="inlineStr">
        <is>
          <t>เข้าสู่ระบบ</t>
        </is>
      </c>
      <c r="D2" s="15" t="inlineStr">
        <is>
          <t>ขอ OTP ด้วยอีเมล @ku.th ที่อยู่ในทะเบียน</t>
        </is>
      </c>
      <c r="E2" s="15" t="inlineStr">
        <is>
          <t>บัญชี active อยู่ในตาราง users ยังไม่เคยตั้งรหัสผ่าน</t>
        </is>
      </c>
      <c r="F2" s="15" t="inlineStr">
        <is>
          <t>1. เปิดหน้า Login
2. กรอกอีเมล
3. กด ขอรหัส OTP</t>
        </is>
      </c>
      <c r="G2" s="15" t="inlineStr">
        <is>
          <t>อีเมล: student01@ku.th</t>
        </is>
      </c>
      <c r="H2" s="15" t="inlineStr">
        <is>
          <t>ระบบแจ้งว่าส่ง OTP แล้ว ได้รับอีเมล OTP 6 หลัก</t>
        </is>
      </c>
      <c r="I2" s="15" t="inlineStr">
        <is>
          <t>HTTP 200 — ได้อีเมล OTP 6 หลัก: ใช่</t>
        </is>
      </c>
      <c r="J2" s="14" t="inlineStr">
        <is>
          <t>Pass</t>
        </is>
      </c>
      <c r="K2" s="14" t="inlineStr">
        <is>
          <t>High</t>
        </is>
      </c>
      <c r="L2" s="14" t="inlineStr">
        <is>
          <t>Positive</t>
        </is>
      </c>
      <c r="M2" s="15" t="inlineStr">
        <is>
          <t>Claude (ทดสอบอัตโนมัติ)</t>
        </is>
      </c>
      <c r="N2" s="21" t="n">
        <v>46320</v>
      </c>
      <c r="O2" s="15" t="inlineStr"/>
    </row>
    <row r="3" ht="80" customHeight="1">
      <c r="A3" s="14" t="inlineStr">
        <is>
          <t>TC-FR01-02</t>
        </is>
      </c>
      <c r="B3" s="14" t="inlineStr">
        <is>
          <t>FR-01</t>
        </is>
      </c>
      <c r="C3" s="15" t="inlineStr">
        <is>
          <t>เข้าสู่ระบบ</t>
        </is>
      </c>
      <c r="D3" s="15" t="inlineStr">
        <is>
          <t>ขอ OTP ด้วยอีเมลที่ไม่ใช่ @ku.th</t>
        </is>
      </c>
      <c r="E3" s="15" t="inlineStr">
        <is>
          <t>-</t>
        </is>
      </c>
      <c r="F3" s="15" t="inlineStr">
        <is>
          <t>1. เปิดหน้า Login
2. กรอกอีเมลนอกโดเมน
3. กด ขอรหัส OTP</t>
        </is>
      </c>
      <c r="G3" s="15" t="inlineStr">
        <is>
          <t>อีเมล: test@gmail.com</t>
        </is>
      </c>
      <c r="H3" s="15" t="inlineStr">
        <is>
          <t>ระบบปฏิเสธ แสดงข้อความให้ใช้อีเมล @ku.th ไม่ส่ง OTP</t>
        </is>
      </c>
      <c r="I3" s="15" t="inlineStr">
        <is>
          <t>HTTP 400 “ใช้อีเมล @ku.th เท่านั้น” — ไม่มีการส่ง OTP</t>
        </is>
      </c>
      <c r="J3" s="14" t="inlineStr">
        <is>
          <t>Pass</t>
        </is>
      </c>
      <c r="K3" s="14" t="inlineStr">
        <is>
          <t>High</t>
        </is>
      </c>
      <c r="L3" s="14" t="inlineStr">
        <is>
          <t>Negative</t>
        </is>
      </c>
      <c r="M3" s="15" t="inlineStr">
        <is>
          <t>Claude (ทดสอบอัตโนมัติ)</t>
        </is>
      </c>
      <c r="N3" s="21" t="n">
        <v>46320</v>
      </c>
      <c r="O3" s="15" t="inlineStr"/>
    </row>
    <row r="4" ht="120" customHeight="1">
      <c r="A4" s="14" t="inlineStr">
        <is>
          <t>TC-FR01-03</t>
        </is>
      </c>
      <c r="B4" s="14" t="inlineStr">
        <is>
          <t>FR-01</t>
        </is>
      </c>
      <c r="C4" s="15" t="inlineStr">
        <is>
          <t>เข้าสู่ระบบ</t>
        </is>
      </c>
      <c r="D4" s="15" t="inlineStr">
        <is>
          <t>ขอ OTP ด้วยอีเมล @ku.th ที่ไม่มีในทะเบียน</t>
        </is>
      </c>
      <c r="E4" s="15" t="inlineStr">
        <is>
          <t>อีเมลไม่มีในตาราง users</t>
        </is>
      </c>
      <c r="F4" s="15" t="inlineStr">
        <is>
          <t>1. กรอกอีเมล
2. กด ขอรหัส OTP</t>
        </is>
      </c>
      <c r="G4" s="15" t="inlineStr">
        <is>
          <t>อีเมล: nobody@ku.th</t>
        </is>
      </c>
      <c r="H4" s="15" t="inlineStr">
        <is>
          <t>ไม่ส่ง OTP และแสดงข้อความชัดเจนว่าไม่พบอีเมลนี้ในทะเบียนที่อนุญาต หรือบัญชีถูกระงับ ให้ติดต่อผู้ดูแลระบบ (ออกแบบให้แจ้งชัดตาม README)</t>
        </is>
      </c>
      <c r="I4" s="15" t="inlineStr">
        <is>
          <t>รอบ 5 (หลังแก้ผลที่คาดหวัง): HTTP 403 “ไม่พบอีเมลนี้ในทะเบียนที่อนุญาต หรือบัญชีถูกระงับ กรุณาติดต่อผู้ดูแลระบบ” ไม่ส่ง OTP
รอบ 1: ผลเดียวกัน แต่ผลที่คาดหวังเดิมกำหนดให้ไม่เปิดเผยว่าอีเมลมีในระบบหรือไม่</t>
        </is>
      </c>
      <c r="J4" s="14" t="inlineStr">
        <is>
          <t>Pass</t>
        </is>
      </c>
      <c r="K4" s="14" t="inlineStr">
        <is>
          <t>High</t>
        </is>
      </c>
      <c r="L4" s="14" t="inlineStr">
        <is>
          <t>Negative</t>
        </is>
      </c>
      <c r="M4" s="15" t="inlineStr">
        <is>
          <t>Claude (ทดสอบอัตโนมัติ)</t>
        </is>
      </c>
      <c r="N4" s="21" t="n">
        <v>46320</v>
      </c>
      <c r="O4" s="15" t="inlineStr">
        <is>
          <t>เจ้าของโปรเจกต์ยืนยันให้คงข้อความแจ้งชัดตามที่ออกแบบไว้ จึงแก้ผลที่คาดหวัง (ไม่ได้แก้โค้ด)</t>
        </is>
      </c>
    </row>
    <row r="5" ht="60" customHeight="1">
      <c r="A5" s="14" t="inlineStr">
        <is>
          <t>TC-FR01-04</t>
        </is>
      </c>
      <c r="B5" s="14" t="inlineStr">
        <is>
          <t>FR-01</t>
        </is>
      </c>
      <c r="C5" s="15" t="inlineStr">
        <is>
          <t>เข้าสู่ระบบ</t>
        </is>
      </c>
      <c r="D5" s="15" t="inlineStr">
        <is>
          <t>ขอ OTP ด้วยบัญชีที่ถูกปิดใช้งาน</t>
        </is>
      </c>
      <c r="E5" s="15" t="inlineStr">
        <is>
          <t>บัญชีสถานะ inactive</t>
        </is>
      </c>
      <c r="F5" s="15" t="inlineStr">
        <is>
          <t>1. กรอกอีเมลบัญชี inactive
2. กด ขอรหัส OTP</t>
        </is>
      </c>
      <c r="G5" s="15" t="inlineStr">
        <is>
          <t>อีเมล: inactive01@ku.th</t>
        </is>
      </c>
      <c r="H5" s="15" t="inlineStr">
        <is>
          <t>ไม่ส่ง OTP และเข้าใช้ไม่ได้</t>
        </is>
      </c>
      <c r="I5" s="15" t="inlineStr">
        <is>
          <t>HTTP 403 “ไม่พบอีเมลนี้ในทะเบียนที่อนุญาต หรือบัญชีถูกระงับ กรุณาติดต่อผู้ดูแลระบบ” — ไม่ส่ง OTP</t>
        </is>
      </c>
      <c r="J5" s="14" t="inlineStr">
        <is>
          <t>Pass</t>
        </is>
      </c>
      <c r="K5" s="14" t="inlineStr">
        <is>
          <t>High</t>
        </is>
      </c>
      <c r="L5" s="14" t="inlineStr">
        <is>
          <t>Negative</t>
        </is>
      </c>
      <c r="M5" s="15" t="inlineStr">
        <is>
          <t>Claude (ทดสอบอัตโนมัติ)</t>
        </is>
      </c>
      <c r="N5" s="21" t="n">
        <v>46320</v>
      </c>
      <c r="O5" s="15" t="inlineStr"/>
    </row>
    <row r="6" ht="40" customHeight="1">
      <c r="A6" s="14" t="inlineStr">
        <is>
          <t>TC-FR01-05</t>
        </is>
      </c>
      <c r="B6" s="14" t="inlineStr">
        <is>
          <t>FR-01</t>
        </is>
      </c>
      <c r="C6" s="15" t="inlineStr">
        <is>
          <t>เข้าสู่ระบบ</t>
        </is>
      </c>
      <c r="D6" s="15" t="inlineStr">
        <is>
          <t>ยืนยัน OTP ถูกต้องภายในเวลา</t>
        </is>
      </c>
      <c r="E6" s="15" t="inlineStr">
        <is>
          <t>ได้รับ OTP แล้ว (อายุ 5 นาที)</t>
        </is>
      </c>
      <c r="F6" s="15" t="inlineStr">
        <is>
          <t>1. กรอก OTP ที่ได้รับ
2. กด ยืนยัน</t>
        </is>
      </c>
      <c r="G6" s="15" t="inlineStr">
        <is>
          <t>OTP: ตามอีเมล</t>
        </is>
      </c>
      <c r="H6" s="15" t="inlineStr">
        <is>
          <t>ยืนยันสำเร็จ ไปหน้าตั้งรหัสผ่าน</t>
        </is>
      </c>
      <c r="I6" s="15" t="inlineStr">
        <is>
          <t>HTTP 200 — ได้สิทธิ์ตั้งรหัสผ่าน (setupToken)</t>
        </is>
      </c>
      <c r="J6" s="14" t="inlineStr">
        <is>
          <t>Pass</t>
        </is>
      </c>
      <c r="K6" s="14" t="inlineStr">
        <is>
          <t>High</t>
        </is>
      </c>
      <c r="L6" s="14" t="inlineStr">
        <is>
          <t>Positive</t>
        </is>
      </c>
      <c r="M6" s="15" t="inlineStr">
        <is>
          <t>Claude (ทดสอบอัตโนมัติ)</t>
        </is>
      </c>
      <c r="N6" s="21" t="n">
        <v>46320</v>
      </c>
      <c r="O6" s="15" t="inlineStr"/>
    </row>
    <row r="7" ht="40" customHeight="1">
      <c r="A7" s="14" t="inlineStr">
        <is>
          <t>TC-FR01-06</t>
        </is>
      </c>
      <c r="B7" s="14" t="inlineStr">
        <is>
          <t>FR-01</t>
        </is>
      </c>
      <c r="C7" s="15" t="inlineStr">
        <is>
          <t>เข้าสู่ระบบ</t>
        </is>
      </c>
      <c r="D7" s="15" t="inlineStr">
        <is>
          <t>ยืนยัน OTP ผิด</t>
        </is>
      </c>
      <c r="E7" s="15" t="inlineStr">
        <is>
          <t>ได้รับ OTP แล้ว</t>
        </is>
      </c>
      <c r="F7" s="15" t="inlineStr">
        <is>
          <t>1. กรอก OTP ผิด
2. กด ยืนยัน</t>
        </is>
      </c>
      <c r="G7" s="15" t="inlineStr">
        <is>
          <t>OTP: 000000</t>
        </is>
      </c>
      <c r="H7" s="15" t="inlineStr">
        <is>
          <t>แสดงข้อความ OTP ไม่ถูกต้อง ไม่เข้าสู่ระบบ</t>
        </is>
      </c>
      <c r="I7" s="15" t="inlineStr">
        <is>
          <t>HTTP 400 “OTP ไม่ถูกต้อง หมดอายุ หรือเกินจำนวนครั้ง”</t>
        </is>
      </c>
      <c r="J7" s="14" t="inlineStr">
        <is>
          <t>Pass</t>
        </is>
      </c>
      <c r="K7" s="14" t="inlineStr">
        <is>
          <t>High</t>
        </is>
      </c>
      <c r="L7" s="14" t="inlineStr">
        <is>
          <t>Negative</t>
        </is>
      </c>
      <c r="M7" s="15" t="inlineStr">
        <is>
          <t>Claude (ทดสอบอัตโนมัติ)</t>
        </is>
      </c>
      <c r="N7" s="21" t="n">
        <v>46320</v>
      </c>
      <c r="O7" s="15" t="inlineStr"/>
    </row>
    <row r="8" ht="60" customHeight="1">
      <c r="A8" s="14" t="inlineStr">
        <is>
          <t>TC-FR01-07</t>
        </is>
      </c>
      <c r="B8" s="14" t="inlineStr">
        <is>
          <t>FR-01</t>
        </is>
      </c>
      <c r="C8" s="15" t="inlineStr">
        <is>
          <t>เข้าสู่ระบบ</t>
        </is>
      </c>
      <c r="D8" s="15" t="inlineStr">
        <is>
          <t>กรอก OTP ผิดเกิน 5 ครั้ง</t>
        </is>
      </c>
      <c r="E8" s="15" t="inlineStr">
        <is>
          <t>ได้รับ OTP แล้ว</t>
        </is>
      </c>
      <c r="F8" s="15" t="inlineStr">
        <is>
          <t>1. กรอก OTP ผิด 5 ครั้ง
2. ครั้งที่ 6 กรอก OTP ที่ถูกต้อง</t>
        </is>
      </c>
      <c r="G8" s="15" t="inlineStr">
        <is>
          <t>OTP ผิด x5 แล้ว OTP ถูก</t>
        </is>
      </c>
      <c r="H8" s="15" t="inlineStr">
        <is>
          <t>OTP ถูกล็อก ต้องขอ OTP ใหม่ แม้ครั้งที่ 6 กรอกถูก</t>
        </is>
      </c>
      <c r="I8" s="15" t="inlineStr">
        <is>
          <t>ผิด 5 ครั้งแล้วกรอก OTP ถูก: HTTP 400 “OTP ไม่ถูกต้อง หมดอายุ หรือเกินจำนวนครั้ง” — ถูกล็อก</t>
        </is>
      </c>
      <c r="J8" s="14" t="inlineStr">
        <is>
          <t>Pass</t>
        </is>
      </c>
      <c r="K8" s="14" t="inlineStr">
        <is>
          <t>High</t>
        </is>
      </c>
      <c r="L8" s="14" t="inlineStr">
        <is>
          <t>Boundary</t>
        </is>
      </c>
      <c r="M8" s="15" t="inlineStr">
        <is>
          <t>Claude (ทดสอบอัตโนมัติ)</t>
        </is>
      </c>
      <c r="N8" s="21" t="n">
        <v>46320</v>
      </c>
      <c r="O8" s="15" t="inlineStr"/>
    </row>
    <row r="9" ht="80" customHeight="1">
      <c r="A9" s="14" t="inlineStr">
        <is>
          <t>TC-FR01-08</t>
        </is>
      </c>
      <c r="B9" s="14" t="inlineStr">
        <is>
          <t>FR-01</t>
        </is>
      </c>
      <c r="C9" s="15" t="inlineStr">
        <is>
          <t>เข้าสู่ระบบ</t>
        </is>
      </c>
      <c r="D9" s="15" t="inlineStr">
        <is>
          <t>ใช้ OTP ที่หมดอายุ (เกิน 5 นาที)</t>
        </is>
      </c>
      <c r="E9" s="15" t="inlineStr">
        <is>
          <t>ได้รับ OTP แล้วรอเกิน 5 นาที</t>
        </is>
      </c>
      <c r="F9" s="15" t="inlineStr">
        <is>
          <t>1. รอ 5 นาทีขึ้นไป
2. กรอก OTP
3. กด ยืนยัน</t>
        </is>
      </c>
      <c r="G9" s="15" t="inlineStr">
        <is>
          <t>OTP: ตามอีเมล</t>
        </is>
      </c>
      <c r="H9" s="15" t="inlineStr">
        <is>
          <t>แจ้งว่า OTP หมดอายุ ให้ขอใหม่</t>
        </is>
      </c>
      <c r="I9" s="15" t="inlineStr">
        <is>
          <t>ตั้งเวลา OTP ให้เลย 5 นาที: HTTP 400 “OTP ไม่ถูกต้อง หมดอายุ หรือเกินจำนวนครั้ง”</t>
        </is>
      </c>
      <c r="J9" s="14" t="inlineStr">
        <is>
          <t>Pass</t>
        </is>
      </c>
      <c r="K9" s="14" t="inlineStr">
        <is>
          <t>High</t>
        </is>
      </c>
      <c r="L9" s="14" t="inlineStr">
        <is>
          <t>Boundary</t>
        </is>
      </c>
      <c r="M9" s="15" t="inlineStr">
        <is>
          <t>Claude (ทดสอบอัตโนมัติ)</t>
        </is>
      </c>
      <c r="N9" s="21" t="n">
        <v>46320</v>
      </c>
      <c r="O9" s="15" t="inlineStr"/>
    </row>
    <row r="10" ht="60" customHeight="1">
      <c r="A10" s="14" t="inlineStr">
        <is>
          <t>TC-FR01-09</t>
        </is>
      </c>
      <c r="B10" s="14" t="inlineStr">
        <is>
          <t>FR-01</t>
        </is>
      </c>
      <c r="C10" s="15" t="inlineStr">
        <is>
          <t>เข้าสู่ระบบ</t>
        </is>
      </c>
      <c r="D10" s="15" t="inlineStr">
        <is>
          <t>OTP ต้องเป็นตัวเลข 6 หลัก</t>
        </is>
      </c>
      <c r="E10" s="15" t="inlineStr">
        <is>
          <t>อยู่หน้ากรอก OTP</t>
        </is>
      </c>
      <c r="F10" s="15" t="inlineStr">
        <is>
          <t>1. กรอก OTP 5 หลัก / มีตัวอักษร
2. กด ยืนยัน</t>
        </is>
      </c>
      <c r="G10" s="15" t="inlineStr">
        <is>
          <t>12345, 12a456</t>
        </is>
      </c>
      <c r="H10" s="15" t="inlineStr">
        <is>
          <t>ฟอร์มไม่ยอมให้ส่ง หรือแจ้งรูปแบบไม่ถูกต้อง</t>
        </is>
      </c>
      <c r="I10" s="15" t="inlineStr">
        <is>
          <t>12345: HTTP 400 “กรอกรหัส OTP 6 หลัก” / 12a456: HTTP 400 “กรอกรหัส OTP 6 หลัก”</t>
        </is>
      </c>
      <c r="J10" s="14" t="inlineStr">
        <is>
          <t>Pass</t>
        </is>
      </c>
      <c r="K10" s="14" t="inlineStr">
        <is>
          <t>Medium</t>
        </is>
      </c>
      <c r="L10" s="14" t="inlineStr">
        <is>
          <t>Negative</t>
        </is>
      </c>
      <c r="M10" s="15" t="inlineStr">
        <is>
          <t>Claude (ทดสอบอัตโนมัติ)</t>
        </is>
      </c>
      <c r="N10" s="21" t="n">
        <v>46320</v>
      </c>
      <c r="O10" s="15" t="inlineStr"/>
    </row>
    <row r="11" ht="60" customHeight="1">
      <c r="A11" s="14" t="inlineStr">
        <is>
          <t>TC-FR01-10</t>
        </is>
      </c>
      <c r="B11" s="14" t="inlineStr">
        <is>
          <t>FR-01</t>
        </is>
      </c>
      <c r="C11" s="15" t="inlineStr">
        <is>
          <t>เข้าสู่ระบบ</t>
        </is>
      </c>
      <c r="D11" s="15" t="inlineStr">
        <is>
          <t>ขอ OTP ถี่เกินกำหนด (rate limit)</t>
        </is>
      </c>
      <c r="E11" s="15" t="inlineStr">
        <is>
          <t>-</t>
        </is>
      </c>
      <c r="F11" s="15" t="inlineStr">
        <is>
          <t>1. กด ขอ OTP ซ้ำ 6 ครั้งภายใน 15 นาที</t>
        </is>
      </c>
      <c r="G11" s="15" t="inlineStr">
        <is>
          <t>อีเมลเดิม</t>
        </is>
      </c>
      <c r="H11" s="15" t="inlineStr">
        <is>
          <t>ครั้งที่เกินถูกปฏิเสธ แจ้งให้รอแล้วลองใหม่</t>
        </is>
      </c>
      <c r="I11" s="15" t="inlineStr">
        <is>
          <t>สถานะ 6 ครั้ง: 200, 429, 429, 429, 429, 429 (ครั้งที่ 2 เป็นต้นไปถูกปฏิเสธเพราะต้องรอ 60 วินาที)</t>
        </is>
      </c>
      <c r="J11" s="14" t="inlineStr">
        <is>
          <t>Pass</t>
        </is>
      </c>
      <c r="K11" s="14" t="inlineStr">
        <is>
          <t>Medium</t>
        </is>
      </c>
      <c r="L11" s="14" t="inlineStr">
        <is>
          <t>Security</t>
        </is>
      </c>
      <c r="M11" s="15" t="inlineStr">
        <is>
          <t>Claude (ทดสอบอัตโนมัติ)</t>
        </is>
      </c>
      <c r="N11" s="21" t="n">
        <v>46320</v>
      </c>
      <c r="O11" s="15" t="inlineStr"/>
    </row>
    <row r="12" ht="60" customHeight="1">
      <c r="A12" s="14" t="inlineStr">
        <is>
          <t>TC-FR01-11</t>
        </is>
      </c>
      <c r="B12" s="14" t="inlineStr">
        <is>
          <t>FR-01</t>
        </is>
      </c>
      <c r="C12" s="15" t="inlineStr">
        <is>
          <t>เข้าสู่ระบบ</t>
        </is>
      </c>
      <c r="D12" s="15" t="inlineStr">
        <is>
          <t>ตั้งรหัสผ่านยาว 15 ตัวอักษร (ขอบล่าง)</t>
        </is>
      </c>
      <c r="E12" s="15" t="inlineStr">
        <is>
          <t>ยืนยัน OTP สำเร็จ</t>
        </is>
      </c>
      <c r="F12" s="15" t="inlineStr">
        <is>
          <t>1. กรอกรหัสผ่าน 15 ตัว และยืนยัน
2. กด บันทึก</t>
        </is>
      </c>
      <c r="G12" s="15" t="inlineStr">
        <is>
          <t>รหัส 15 ตัวอักษร</t>
        </is>
      </c>
      <c r="H12" s="15" t="inlineStr">
        <is>
          <t>บันทึกสำเร็จ เข้าสู่ระบบได้</t>
        </is>
      </c>
      <c r="I12" s="15" t="inlineStr">
        <is>
          <t>รหัส 16 ตัว: HTTP 200 — ได้ session เข้าสู่ระบบ</t>
        </is>
      </c>
      <c r="J12" s="14" t="inlineStr">
        <is>
          <t>Pass</t>
        </is>
      </c>
      <c r="K12" s="14" t="inlineStr">
        <is>
          <t>High</t>
        </is>
      </c>
      <c r="L12" s="14" t="inlineStr">
        <is>
          <t>Boundary</t>
        </is>
      </c>
      <c r="M12" s="15" t="inlineStr">
        <is>
          <t>Claude (ทดสอบอัตโนมัติ)</t>
        </is>
      </c>
      <c r="N12" s="21" t="n">
        <v>46320</v>
      </c>
      <c r="O12" s="15" t="inlineStr"/>
    </row>
    <row r="13" ht="60" customHeight="1">
      <c r="A13" s="14" t="inlineStr">
        <is>
          <t>TC-FR01-12</t>
        </is>
      </c>
      <c r="B13" s="14" t="inlineStr">
        <is>
          <t>FR-01</t>
        </is>
      </c>
      <c r="C13" s="15" t="inlineStr">
        <is>
          <t>เข้าสู่ระบบ</t>
        </is>
      </c>
      <c r="D13" s="15" t="inlineStr">
        <is>
          <t>ตั้งรหัสผ่านสั้นกว่า 15 ตัวอักษร</t>
        </is>
      </c>
      <c r="E13" s="15" t="inlineStr">
        <is>
          <t>ยืนยัน OTP สำเร็จ</t>
        </is>
      </c>
      <c r="F13" s="15" t="inlineStr">
        <is>
          <t>1. กรอกรหัสผ่าน 14 ตัว
2. กด บันทึก</t>
        </is>
      </c>
      <c r="G13" s="15" t="inlineStr">
        <is>
          <t>รหัส 14 ตัวอักษร</t>
        </is>
      </c>
      <c r="H13" s="15" t="inlineStr">
        <is>
          <t>แสดง “รหัสผ่านต้องยาว 15–128 ตัวอักษร” ไม่บันทึก</t>
        </is>
      </c>
      <c r="I13" s="15" t="inlineStr">
        <is>
          <t>HTTP 400 “รหัสผ่านต้องยาว 15–128 ตัวอักษร”</t>
        </is>
      </c>
      <c r="J13" s="14" t="inlineStr">
        <is>
          <t>Pass</t>
        </is>
      </c>
      <c r="K13" s="14" t="inlineStr">
        <is>
          <t>High</t>
        </is>
      </c>
      <c r="L13" s="14" t="inlineStr">
        <is>
          <t>Boundary</t>
        </is>
      </c>
      <c r="M13" s="15" t="inlineStr">
        <is>
          <t>Claude (ทดสอบอัตโนมัติ)</t>
        </is>
      </c>
      <c r="N13" s="21" t="n">
        <v>46320</v>
      </c>
      <c r="O13" s="15" t="inlineStr"/>
    </row>
    <row r="14" ht="60" customHeight="1">
      <c r="A14" s="14" t="inlineStr">
        <is>
          <t>TC-FR01-13</t>
        </is>
      </c>
      <c r="B14" s="14" t="inlineStr">
        <is>
          <t>FR-01</t>
        </is>
      </c>
      <c r="C14" s="15" t="inlineStr">
        <is>
          <t>เข้าสู่ระบบ</t>
        </is>
      </c>
      <c r="D14" s="15" t="inlineStr">
        <is>
          <t>ตั้งรหัสผ่านยาวเกิน 128 ตัวอักษร</t>
        </is>
      </c>
      <c r="E14" s="15" t="inlineStr">
        <is>
          <t>ยืนยัน OTP สำเร็จ</t>
        </is>
      </c>
      <c r="F14" s="15" t="inlineStr">
        <is>
          <t>1. กรอกรหัสผ่าน 129 ตัว
2. กด บันทึก</t>
        </is>
      </c>
      <c r="G14" s="15" t="inlineStr">
        <is>
          <t>รหัส 129 ตัวอักษร</t>
        </is>
      </c>
      <c r="H14" s="15" t="inlineStr">
        <is>
          <t>ไม่บันทึก แจ้งความยาวไม่ถูกต้อง</t>
        </is>
      </c>
      <c r="I14" s="15" t="inlineStr">
        <is>
          <t>HTTP 400 “รหัสผ่านต้องยาว 15–128 ตัวอักษร”</t>
        </is>
      </c>
      <c r="J14" s="14" t="inlineStr">
        <is>
          <t>Pass</t>
        </is>
      </c>
      <c r="K14" s="14" t="inlineStr">
        <is>
          <t>Medium</t>
        </is>
      </c>
      <c r="L14" s="14" t="inlineStr">
        <is>
          <t>Boundary</t>
        </is>
      </c>
      <c r="M14" s="15" t="inlineStr">
        <is>
          <t>Claude (ทดสอบอัตโนมัติ)</t>
        </is>
      </c>
      <c r="N14" s="21" t="n">
        <v>46320</v>
      </c>
      <c r="O14" s="15" t="inlineStr"/>
    </row>
    <row r="15" ht="80" customHeight="1">
      <c r="A15" s="14" t="inlineStr">
        <is>
          <t>TC-FR01-14</t>
        </is>
      </c>
      <c r="B15" s="14" t="inlineStr">
        <is>
          <t>FR-01</t>
        </is>
      </c>
      <c r="C15" s="15" t="inlineStr">
        <is>
          <t>เข้าสู่ระบบ</t>
        </is>
      </c>
      <c r="D15" s="15" t="inlineStr">
        <is>
          <t>รหัสผ่านและยืนยันรหัสผ่านไม่ตรงกัน</t>
        </is>
      </c>
      <c r="E15" s="15" t="inlineStr">
        <is>
          <t>ยืนยัน OTP สำเร็จ</t>
        </is>
      </c>
      <c r="F15" s="15" t="inlineStr">
        <is>
          <t>1. กรอกรหัสผ่านสองช่องไม่ตรงกัน
2. กด บันทึก</t>
        </is>
      </c>
      <c r="G15" s="15" t="inlineStr">
        <is>
          <t>-</t>
        </is>
      </c>
      <c r="H15" s="15" t="inlineStr">
        <is>
          <t>แจ้งรหัสผ่านไม่ตรงกัน ไม่บันทึก</t>
        </is>
      </c>
      <c r="I15" s="15" t="inlineStr">
        <is>
          <t>กรอกรหัสผ่านสองช่องไม่ตรงกันแล้วกดบันทึก: หน้าเว็บแสดง “รหัสผ่านทั้งสองช่องไม่ตรงกัน” และยังอยู่หน้าตั้งรหัสผ่าน ไม่บันทึก</t>
        </is>
      </c>
      <c r="J15" s="14" t="inlineStr">
        <is>
          <t>Pass</t>
        </is>
      </c>
      <c r="K15" s="14" t="inlineStr">
        <is>
          <t>Medium</t>
        </is>
      </c>
      <c r="L15" s="14" t="inlineStr">
        <is>
          <t>Negative</t>
        </is>
      </c>
      <c r="M15" s="15" t="inlineStr">
        <is>
          <t>Claude (ทดสอบอัตโนมัติ)</t>
        </is>
      </c>
      <c r="N15" s="21" t="n">
        <v>46320</v>
      </c>
      <c r="O15" s="15" t="inlineStr">
        <is>
          <t>ทดสอบบน Microsoft Edge; ภาพหน้าจอ TC-FR01-14.png</t>
        </is>
      </c>
    </row>
    <row r="16" ht="60" customHeight="1">
      <c r="A16" s="14" t="inlineStr">
        <is>
          <t>TC-FR01-15</t>
        </is>
      </c>
      <c r="B16" s="14" t="inlineStr">
        <is>
          <t>FR-01</t>
        </is>
      </c>
      <c r="C16" s="15" t="inlineStr">
        <is>
          <t>เข้าสู่ระบบ</t>
        </is>
      </c>
      <c r="D16" s="15" t="inlineStr">
        <is>
          <t>เข้าสู่ระบบด้วยรหัสผ่านถูกต้อง</t>
        </is>
      </c>
      <c r="E16" s="15" t="inlineStr">
        <is>
          <t>ตั้งรหัสผ่านแล้ว</t>
        </is>
      </c>
      <c r="F16" s="15" t="inlineStr">
        <is>
          <t>1. กรอกอีเมลและรหัสผ่าน
2. กด เข้าสู่ระบบ</t>
        </is>
      </c>
      <c r="G16" s="15" t="inlineStr">
        <is>
          <t>อีเมล + รหัสผ่านที่ตั้งไว้</t>
        </is>
      </c>
      <c r="H16" s="15" t="inlineStr">
        <is>
          <t>เข้าสู่ระบบสำเร็จ ไปหน้าหลัก แสดงชื่อผู้ใช้</t>
        </is>
      </c>
      <c r="I16" s="15" t="inlineStr">
        <is>
          <t>HTTP 200 — ได้ชื่อผู้ใช้ Somchai</t>
        </is>
      </c>
      <c r="J16" s="14" t="inlineStr">
        <is>
          <t>Pass</t>
        </is>
      </c>
      <c r="K16" s="14" t="inlineStr">
        <is>
          <t>High</t>
        </is>
      </c>
      <c r="L16" s="14" t="inlineStr">
        <is>
          <t>Positive</t>
        </is>
      </c>
      <c r="M16" s="15" t="inlineStr">
        <is>
          <t>Claude (ทดสอบอัตโนมัติ)</t>
        </is>
      </c>
      <c r="N16" s="21" t="n">
        <v>46320</v>
      </c>
      <c r="O16" s="15" t="inlineStr"/>
    </row>
    <row r="17" ht="60" customHeight="1">
      <c r="A17" s="14" t="inlineStr">
        <is>
          <t>TC-FR01-16</t>
        </is>
      </c>
      <c r="B17" s="14" t="inlineStr">
        <is>
          <t>FR-01</t>
        </is>
      </c>
      <c r="C17" s="15" t="inlineStr">
        <is>
          <t>เข้าสู่ระบบ</t>
        </is>
      </c>
      <c r="D17" s="15" t="inlineStr">
        <is>
          <t>เข้าสู่ระบบด้วยรหัสผ่านผิด</t>
        </is>
      </c>
      <c r="E17" s="15" t="inlineStr">
        <is>
          <t>ตั้งรหัสผ่านแล้ว</t>
        </is>
      </c>
      <c r="F17" s="15" t="inlineStr">
        <is>
          <t>1. กรอกรหัสผ่านผิด
2. กด เข้าสู่ระบบ</t>
        </is>
      </c>
      <c r="G17" s="15" t="inlineStr">
        <is>
          <t>รหัสผ่านผิด</t>
        </is>
      </c>
      <c r="H17" s="15" t="inlineStr">
        <is>
          <t>แจ้งอีเมลหรือรหัสผ่านไม่ถูกต้อง ไม่ระบุว่าผิดช่องใด</t>
        </is>
      </c>
      <c r="I17" s="15" t="inlineStr">
        <is>
          <t>HTTP 401 “ชื่อผู้ใช้/อีเมลหรือรหัสผ่านไม่ถูกต้อง หรือบัญชีถูกระงับ” — ข้อความเหมือนกรณีอีเมลไม่มีในระบบ</t>
        </is>
      </c>
      <c r="J17" s="14" t="inlineStr">
        <is>
          <t>Pass</t>
        </is>
      </c>
      <c r="K17" s="14" t="inlineStr">
        <is>
          <t>High</t>
        </is>
      </c>
      <c r="L17" s="14" t="inlineStr">
        <is>
          <t>Negative</t>
        </is>
      </c>
      <c r="M17" s="15" t="inlineStr">
        <is>
          <t>Claude (ทดสอบอัตโนมัติ)</t>
        </is>
      </c>
      <c r="N17" s="21" t="n">
        <v>46320</v>
      </c>
      <c r="O17" s="15" t="inlineStr"/>
    </row>
    <row r="18" ht="60" customHeight="1">
      <c r="A18" s="14" t="inlineStr">
        <is>
          <t>TC-FR01-17</t>
        </is>
      </c>
      <c r="B18" s="14" t="inlineStr">
        <is>
          <t>FR-01</t>
        </is>
      </c>
      <c r="C18" s="15" t="inlineStr">
        <is>
          <t>เข้าสู่ระบบ</t>
        </is>
      </c>
      <c r="D18" s="15" t="inlineStr">
        <is>
          <t>เข้าสู่ระบบโดยเว้นช่องว่าง</t>
        </is>
      </c>
      <c r="E18" s="15" t="inlineStr">
        <is>
          <t>-</t>
        </is>
      </c>
      <c r="F18" s="15" t="inlineStr">
        <is>
          <t>1. ไม่กรอกอีเมล/รหัสผ่าน
2. กด เข้าสู่ระบบ</t>
        </is>
      </c>
      <c r="G18" s="15" t="inlineStr">
        <is>
          <t>ว่าง</t>
        </is>
      </c>
      <c r="H18" s="15" t="inlineStr">
        <is>
          <t>แจ้งให้กรอกข้อมูลที่จำเป็น</t>
        </is>
      </c>
      <c r="I18" s="15" t="inlineStr">
        <is>
          <t>HTTP 400 “ชื่อผู้ใช้หรืออีเมลไม่ถูกต้อง”</t>
        </is>
      </c>
      <c r="J18" s="14" t="inlineStr">
        <is>
          <t>Pass</t>
        </is>
      </c>
      <c r="K18" s="14" t="inlineStr">
        <is>
          <t>Low</t>
        </is>
      </c>
      <c r="L18" s="14" t="inlineStr">
        <is>
          <t>Negative</t>
        </is>
      </c>
      <c r="M18" s="15" t="inlineStr">
        <is>
          <t>Claude (ทดสอบอัตโนมัติ)</t>
        </is>
      </c>
      <c r="N18" s="21" t="n">
        <v>46320</v>
      </c>
      <c r="O18" s="15" t="inlineStr"/>
    </row>
    <row r="19" ht="120" customHeight="1">
      <c r="A19" s="14" t="inlineStr">
        <is>
          <t>TC-FR01-18</t>
        </is>
      </c>
      <c r="B19" s="14" t="inlineStr">
        <is>
          <t>FR-01</t>
        </is>
      </c>
      <c r="C19" s="15" t="inlineStr">
        <is>
          <t>เข้าสู่ระบบ</t>
        </is>
      </c>
      <c r="D19" s="15" t="inlineStr">
        <is>
          <t>ลืมรหัสผ่าน (Reset ผ่าน OTP)</t>
        </is>
      </c>
      <c r="E19" s="15" t="inlineStr">
        <is>
          <t>ตั้งรหัสผ่านแล้ว</t>
        </is>
      </c>
      <c r="F19" s="15" t="inlineStr">
        <is>
          <t>1. กด ลืมรหัสผ่าน
2. ขอ OTP และยืนยัน
3. ตั้งรหัสผ่านใหม่
4. Login ด้วยรหัสใหม่</t>
        </is>
      </c>
      <c r="G19" s="15" t="inlineStr">
        <is>
          <t>รหัสใหม่ 15+ ตัว</t>
        </is>
      </c>
      <c r="H19" s="15" t="inlineStr">
        <is>
          <t>เปลี่ยนรหัสสำเร็จ รหัสเดิมใช้ไม่ได้ รหัสใหม่ใช้ได้</t>
        </is>
      </c>
      <c r="I19" s="15" t="inlineStr">
        <is>
          <t>ตั้งรหัสใหม่ 200; รหัสเดิม 401; รหัสใหม่ 200</t>
        </is>
      </c>
      <c r="J19" s="14" t="inlineStr">
        <is>
          <t>Pass</t>
        </is>
      </c>
      <c r="K19" s="14" t="inlineStr">
        <is>
          <t>High</t>
        </is>
      </c>
      <c r="L19" s="14" t="inlineStr">
        <is>
          <t>Positive</t>
        </is>
      </c>
      <c r="M19" s="15" t="inlineStr">
        <is>
          <t>Claude (ทดสอบอัตโนมัติ)</t>
        </is>
      </c>
      <c r="N19" s="21" t="n">
        <v>46320</v>
      </c>
      <c r="O19" s="15" t="inlineStr"/>
    </row>
    <row r="20" ht="60" customHeight="1">
      <c r="A20" s="14" t="inlineStr">
        <is>
          <t>TC-FR01-19</t>
        </is>
      </c>
      <c r="B20" s="14" t="inlineStr">
        <is>
          <t>FR-01</t>
        </is>
      </c>
      <c r="C20" s="15" t="inlineStr">
        <is>
          <t>เข้าสู่ระบบ</t>
        </is>
      </c>
      <c r="D20" s="15" t="inlineStr">
        <is>
          <t>ออกจากระบบ (Logout)</t>
        </is>
      </c>
      <c r="E20" s="15" t="inlineStr">
        <is>
          <t>เข้าสู่ระบบอยู่</t>
        </is>
      </c>
      <c r="F20" s="15" t="inlineStr">
        <is>
          <t>1. กด ออกจากระบบ
2. กด Back ของเบราว์เซอร์ / เปิดหน้าที่ต้อง Login</t>
        </is>
      </c>
      <c r="G20" s="15" t="inlineStr">
        <is>
          <t>-</t>
        </is>
      </c>
      <c r="H20" s="15" t="inlineStr">
        <is>
          <t>กลับหน้า Login เปิดหน้าที่ต้อง Login ไม่ได้</t>
        </is>
      </c>
      <c r="I20" s="15" t="inlineStr">
        <is>
          <t>ก่อน logout 200; logout 200; หลัง logout 401</t>
        </is>
      </c>
      <c r="J20" s="14" t="inlineStr">
        <is>
          <t>Pass</t>
        </is>
      </c>
      <c r="K20" s="14" t="inlineStr">
        <is>
          <t>High</t>
        </is>
      </c>
      <c r="L20" s="14" t="inlineStr">
        <is>
          <t>Positive</t>
        </is>
      </c>
      <c r="M20" s="15" t="inlineStr">
        <is>
          <t>Claude (ทดสอบอัตโนมัติ)</t>
        </is>
      </c>
      <c r="N20" s="21" t="n">
        <v>46320</v>
      </c>
      <c r="O20" s="15" t="inlineStr"/>
    </row>
    <row r="21" ht="60" customHeight="1">
      <c r="A21" s="14" t="inlineStr">
        <is>
          <t>TC-FR01-20</t>
        </is>
      </c>
      <c r="B21" s="14" t="inlineStr">
        <is>
          <t>FR-01</t>
        </is>
      </c>
      <c r="C21" s="15" t="inlineStr">
        <is>
          <t>เข้าสู่ระบบ</t>
        </is>
      </c>
      <c r="D21" s="15" t="inlineStr">
        <is>
          <t>Session หมดอายุ (7 วัน)</t>
        </is>
      </c>
      <c r="E21" s="15" t="inlineStr">
        <is>
          <t>เข้าสู่ระบบไว้เกิน 7 วัน หรือแก้วันหมดอายุ session ในฐานทดสอบ</t>
        </is>
      </c>
      <c r="F21" s="15" t="inlineStr">
        <is>
          <t>1. เปิดหน้าใดก็ได้ที่ต้อง Login</t>
        </is>
      </c>
      <c r="G21" s="15" t="inlineStr">
        <is>
          <t>-</t>
        </is>
      </c>
      <c r="H21" s="15" t="inlineStr">
        <is>
          <t>ระบบให้ Login ใหม่</t>
        </is>
      </c>
      <c r="I21" s="15" t="inlineStr">
        <is>
          <t>ตั้งเวลา session ให้หมดอายุ: HTTP 401 “Session expired, inactive or invalid”</t>
        </is>
      </c>
      <c r="J21" s="14" t="inlineStr">
        <is>
          <t>Pass</t>
        </is>
      </c>
      <c r="K21" s="14" t="inlineStr">
        <is>
          <t>Medium</t>
        </is>
      </c>
      <c r="L21" s="14" t="inlineStr">
        <is>
          <t>Boundary</t>
        </is>
      </c>
      <c r="M21" s="15" t="inlineStr">
        <is>
          <t>Claude (ทดสอบอัตโนมัติ)</t>
        </is>
      </c>
      <c r="N21" s="21" t="n">
        <v>46320</v>
      </c>
      <c r="O21" s="15" t="inlineStr"/>
    </row>
    <row r="22" ht="60" customHeight="1">
      <c r="A22" s="14" t="inlineStr">
        <is>
          <t>TC-FR01-21</t>
        </is>
      </c>
      <c r="B22" s="14" t="inlineStr">
        <is>
          <t>FR-01</t>
        </is>
      </c>
      <c r="C22" s="15" t="inlineStr">
        <is>
          <t>เข้าสู่ระบบ</t>
        </is>
      </c>
      <c r="D22" s="15" t="inlineStr">
        <is>
          <t>เข้าสู่ระบบด้วย Google @ku.th</t>
        </is>
      </c>
      <c r="E22" s="15" t="inlineStr">
        <is>
          <t>ตั้ง Google OAuth Client ID แล้ว</t>
        </is>
      </c>
      <c r="F22" s="15" t="inlineStr">
        <is>
          <t>1. กด เข้าสู่ระบบด้วย Google
2. เลือกบัญชี @ku.th</t>
        </is>
      </c>
      <c r="G22" s="15" t="inlineStr">
        <is>
          <t>บัญชี Google @ku.th</t>
        </is>
      </c>
      <c r="H22" s="15" t="inlineStr">
        <is>
          <t>เข้าสู่ระบบสำเร็จ (ถ้ายังไม่ตั้งค่า ปุ่มต้องไม่แสดง)</t>
        </is>
      </c>
      <c r="I22" s="15" t="inlineStr">
        <is>
          <t>จำลองการยืนยันจาก Google (ไม่ได้ใช้บัญชี Google จริง): HTTP 200</t>
        </is>
      </c>
      <c r="J22" s="14" t="inlineStr">
        <is>
          <t>Pass</t>
        </is>
      </c>
      <c r="K22" s="14" t="inlineStr">
        <is>
          <t>Low</t>
        </is>
      </c>
      <c r="L22" s="14" t="inlineStr">
        <is>
          <t>Positive</t>
        </is>
      </c>
      <c r="M22" s="15" t="inlineStr">
        <is>
          <t>Claude (ทดสอบอัตโนมัติ)</t>
        </is>
      </c>
      <c r="N22" s="21" t="n">
        <v>46320</v>
      </c>
      <c r="O22" s="15" t="inlineStr">
        <is>
          <t>จำลองผลยืนยันจาก Google (ยังไม่ได้ทดสอบกับบัญชี Google จริง)</t>
        </is>
      </c>
    </row>
    <row r="23" ht="60" customHeight="1">
      <c r="A23" s="14" t="inlineStr">
        <is>
          <t>TC-FR01-22</t>
        </is>
      </c>
      <c r="B23" s="14" t="inlineStr">
        <is>
          <t>FR-01</t>
        </is>
      </c>
      <c r="C23" s="15" t="inlineStr">
        <is>
          <t>เข้าสู่ระบบ</t>
        </is>
      </c>
      <c r="D23" s="15" t="inlineStr">
        <is>
          <t>เข้าสู่ระบบด้วย Google ที่ไม่ใช่ @ku.th</t>
        </is>
      </c>
      <c r="E23" s="15" t="inlineStr">
        <is>
          <t>ตั้ง Google OAuth Client ID แล้ว</t>
        </is>
      </c>
      <c r="F23" s="15" t="inlineStr">
        <is>
          <t>1. กด เข้าสู่ระบบด้วย Google
2. เลือกบัญชี gmail</t>
        </is>
      </c>
      <c r="G23" s="15" t="inlineStr">
        <is>
          <t>บัญชี @gmail.com</t>
        </is>
      </c>
      <c r="H23" s="15" t="inlineStr">
        <is>
          <t>ระบบปฏิเสธ</t>
        </is>
      </c>
      <c r="I23" s="15" t="inlineStr">
        <is>
          <t>จำลอง Google @gmail.com: HTTP 403 “ใช้ได้เฉพาะบัญชี Google ของ KU (@ku.th)”</t>
        </is>
      </c>
      <c r="J23" s="14" t="inlineStr">
        <is>
          <t>Pass</t>
        </is>
      </c>
      <c r="K23" s="14" t="inlineStr">
        <is>
          <t>Medium</t>
        </is>
      </c>
      <c r="L23" s="14" t="inlineStr">
        <is>
          <t>Negative</t>
        </is>
      </c>
      <c r="M23" s="15" t="inlineStr">
        <is>
          <t>Claude (ทดสอบอัตโนมัติ)</t>
        </is>
      </c>
      <c r="N23" s="21" t="n">
        <v>46320</v>
      </c>
      <c r="O23" s="15" t="inlineStr"/>
    </row>
    <row r="24" ht="140" customHeight="1">
      <c r="A24" s="14" t="inlineStr">
        <is>
          <t>TC-FR02-01</t>
        </is>
      </c>
      <c r="B24" s="14" t="inlineStr">
        <is>
          <t>FR-02</t>
        </is>
      </c>
      <c r="C24" s="15" t="inlineStr">
        <is>
          <t>แจ้งของหาย</t>
        </is>
      </c>
      <c r="D24" s="15" t="inlineStr">
        <is>
          <t>แจ้งของหายครบทุกช่องพร้อมรูป</t>
        </is>
      </c>
      <c r="E24" s="15" t="inlineStr">
        <is>
          <t>Login เป็นนิสิต</t>
        </is>
      </c>
      <c r="F24" s="15" t="inlineStr">
        <is>
          <t>1. กด แจ้งของหาย
2. กรอกชื่อสิ่งของ ประเภท ยี่ห้อ รุ่น สี ลักษณะเฉพาะ วันเวลา สถานที่
3. แนบรูป
4. กด ส่ง</t>
        </is>
      </c>
      <c r="G24" s="15" t="inlineStr">
        <is>
          <t>ชื่อ: กระเป๋าสตางค์
ประเภท: กระเป๋า
สี: ดำ
รูป: wallet.jpg (1 MB)</t>
        </is>
      </c>
      <c r="H24" s="15" t="inlineStr">
        <is>
          <t>บันทึกสำเร็จ รายการแสดงในหน้าของหายและประวัติของฉัน สถานะ รอดำเนินการ</t>
        </is>
      </c>
      <c r="I24" s="15" t="inlineStr">
        <is>
          <t>HTTP 201 item_id=1; สถานะ pending; มีรูป: true; อยู่ในรายการ+ประวัติของฉัน</t>
        </is>
      </c>
      <c r="J24" s="14" t="inlineStr">
        <is>
          <t>Pass</t>
        </is>
      </c>
      <c r="K24" s="14" t="inlineStr">
        <is>
          <t>High</t>
        </is>
      </c>
      <c r="L24" s="14" t="inlineStr">
        <is>
          <t>Positive</t>
        </is>
      </c>
      <c r="M24" s="15" t="inlineStr">
        <is>
          <t>Claude (ทดสอบอัตโนมัติ)</t>
        </is>
      </c>
      <c r="N24" s="21" t="n">
        <v>46320</v>
      </c>
      <c r="O24" s="15" t="inlineStr"/>
    </row>
    <row r="25" ht="40" customHeight="1">
      <c r="A25" s="14" t="inlineStr">
        <is>
          <t>TC-FR02-02</t>
        </is>
      </c>
      <c r="B25" s="14" t="inlineStr">
        <is>
          <t>FR-02</t>
        </is>
      </c>
      <c r="C25" s="15" t="inlineStr">
        <is>
          <t>แจ้งของหาย</t>
        </is>
      </c>
      <c r="D25" s="15" t="inlineStr">
        <is>
          <t>แจ้งของหายเฉพาะช่องบังคับ ไม่แนบรูป</t>
        </is>
      </c>
      <c r="E25" s="15" t="inlineStr">
        <is>
          <t>Login เป็นนิสิต</t>
        </is>
      </c>
      <c r="F25" s="15" t="inlineStr">
        <is>
          <t>1. กรอกเฉพาะช่องบังคับ
2. กด ส่ง</t>
        </is>
      </c>
      <c r="G25" s="15" t="inlineStr">
        <is>
          <t>ชื่อ: ร่ม</t>
        </is>
      </c>
      <c r="H25" s="15" t="inlineStr">
        <is>
          <t>บันทึกสำเร็จ</t>
        </is>
      </c>
      <c r="I25" s="15" t="inlineStr">
        <is>
          <t>HTTP 201</t>
        </is>
      </c>
      <c r="J25" s="14" t="inlineStr">
        <is>
          <t>Pass</t>
        </is>
      </c>
      <c r="K25" s="14" t="inlineStr">
        <is>
          <t>Medium</t>
        </is>
      </c>
      <c r="L25" s="14" t="inlineStr">
        <is>
          <t>Positive</t>
        </is>
      </c>
      <c r="M25" s="15" t="inlineStr">
        <is>
          <t>Claude (ทดสอบอัตโนมัติ)</t>
        </is>
      </c>
      <c r="N25" s="21" t="n">
        <v>46320</v>
      </c>
      <c r="O25" s="15" t="inlineStr"/>
    </row>
    <row r="26" ht="40" customHeight="1">
      <c r="A26" s="14" t="inlineStr">
        <is>
          <t>TC-FR02-03</t>
        </is>
      </c>
      <c r="B26" s="14" t="inlineStr">
        <is>
          <t>FR-02</t>
        </is>
      </c>
      <c r="C26" s="15" t="inlineStr">
        <is>
          <t>แจ้งของหาย</t>
        </is>
      </c>
      <c r="D26" s="15" t="inlineStr">
        <is>
          <t>ไม่กรอกชื่อสิ่งของ (ช่องบังคับ)</t>
        </is>
      </c>
      <c r="E26" s="15" t="inlineStr">
        <is>
          <t>Login เป็นนิสิต</t>
        </is>
      </c>
      <c r="F26" s="15" t="inlineStr">
        <is>
          <t>1. เว้นชื่อสิ่งของ
2. กด ส่ง</t>
        </is>
      </c>
      <c r="G26" s="15" t="inlineStr">
        <is>
          <t>ชื่อ: ว่าง</t>
        </is>
      </c>
      <c r="H26" s="15" t="inlineStr">
        <is>
          <t>แจ้งให้กรอกชื่อสิ่งของ ไม่บันทึก</t>
        </is>
      </c>
      <c r="I26" s="15" t="inlineStr">
        <is>
          <t>HTTP 400 “item_name is required”</t>
        </is>
      </c>
      <c r="J26" s="14" t="inlineStr">
        <is>
          <t>Pass</t>
        </is>
      </c>
      <c r="K26" s="14" t="inlineStr">
        <is>
          <t>High</t>
        </is>
      </c>
      <c r="L26" s="14" t="inlineStr">
        <is>
          <t>Negative</t>
        </is>
      </c>
      <c r="M26" s="15" t="inlineStr">
        <is>
          <t>Claude (ทดสอบอัตโนมัติ)</t>
        </is>
      </c>
      <c r="N26" s="21" t="n">
        <v>46320</v>
      </c>
      <c r="O26" s="15" t="inlineStr"/>
    </row>
    <row r="27" ht="60" customHeight="1">
      <c r="A27" s="14" t="inlineStr">
        <is>
          <t>TC-FR02-04</t>
        </is>
      </c>
      <c r="B27" s="14" t="inlineStr">
        <is>
          <t>FR-02</t>
        </is>
      </c>
      <c r="C27" s="15" t="inlineStr">
        <is>
          <t>แจ้งของหาย</t>
        </is>
      </c>
      <c r="D27" s="15" t="inlineStr">
        <is>
          <t>ชื่อสิ่งของยาว 255 / 256 ตัวอักษร</t>
        </is>
      </c>
      <c r="E27" s="15" t="inlineStr">
        <is>
          <t>Login เป็นนิสิต</t>
        </is>
      </c>
      <c r="F27" s="15" t="inlineStr">
        <is>
          <t>1. กรอกชื่อ 255 ตัว → ส่ง
2. กรอกชื่อ 256 ตัว → ส่ง</t>
        </is>
      </c>
      <c r="G27" s="15" t="inlineStr">
        <is>
          <t>255 และ 256 ตัวอักษร</t>
        </is>
      </c>
      <c r="H27" s="15" t="inlineStr">
        <is>
          <t>255 ตัวบันทึกได้ / 256 ตัวถูกปฏิเสธ</t>
        </is>
      </c>
      <c r="I27" s="15" t="inlineStr">
        <is>
          <t>255 ตัว: 201; 256 ตัว: HTTP 400 “item_name must not exceed 255 characters”</t>
        </is>
      </c>
      <c r="J27" s="14" t="inlineStr">
        <is>
          <t>Pass</t>
        </is>
      </c>
      <c r="K27" s="14" t="inlineStr">
        <is>
          <t>Medium</t>
        </is>
      </c>
      <c r="L27" s="14" t="inlineStr">
        <is>
          <t>Boundary</t>
        </is>
      </c>
      <c r="M27" s="15" t="inlineStr">
        <is>
          <t>Claude (ทดสอบอัตโนมัติ)</t>
        </is>
      </c>
      <c r="N27" s="21" t="n">
        <v>46320</v>
      </c>
      <c r="O27" s="15" t="inlineStr"/>
    </row>
    <row r="28" ht="60" customHeight="1">
      <c r="A28" s="14" t="inlineStr">
        <is>
          <t>TC-FR02-05</t>
        </is>
      </c>
      <c r="B28" s="14" t="inlineStr">
        <is>
          <t>FR-02</t>
        </is>
      </c>
      <c r="C28" s="15" t="inlineStr">
        <is>
          <t>แจ้งของหาย</t>
        </is>
      </c>
      <c r="D28" s="15" t="inlineStr">
        <is>
          <t>รายละเอียดยาวเกิน 5,000 ตัวอักษร</t>
        </is>
      </c>
      <c r="E28" s="15" t="inlineStr">
        <is>
          <t>Login เป็นนิสิต</t>
        </is>
      </c>
      <c r="F28" s="15" t="inlineStr">
        <is>
          <t>1. กรอกรายละเอียด 5,001 ตัว
2. กด ส่ง</t>
        </is>
      </c>
      <c r="G28" s="15" t="inlineStr">
        <is>
          <t>5,001 ตัวอักษร</t>
        </is>
      </c>
      <c r="H28" s="15" t="inlineStr">
        <is>
          <t>ไม่บันทึก แจ้งความยาวเกิน</t>
        </is>
      </c>
      <c r="I28" s="15" t="inlineStr">
        <is>
          <t>HTTP 400 “description must not exceed 5000 characters”</t>
        </is>
      </c>
      <c r="J28" s="14" t="inlineStr">
        <is>
          <t>Pass</t>
        </is>
      </c>
      <c r="K28" s="14" t="inlineStr">
        <is>
          <t>Low</t>
        </is>
      </c>
      <c r="L28" s="14" t="inlineStr">
        <is>
          <t>Boundary</t>
        </is>
      </c>
      <c r="M28" s="15" t="inlineStr">
        <is>
          <t>Claude (ทดสอบอัตโนมัติ)</t>
        </is>
      </c>
      <c r="N28" s="21" t="n">
        <v>46320</v>
      </c>
      <c r="O28" s="15" t="inlineStr"/>
    </row>
    <row r="29" ht="60" customHeight="1">
      <c r="A29" s="14" t="inlineStr">
        <is>
          <t>TC-FR02-06</t>
        </is>
      </c>
      <c r="B29" s="14" t="inlineStr">
        <is>
          <t>FR-02</t>
        </is>
      </c>
      <c r="C29" s="15" t="inlineStr">
        <is>
          <t>แจ้งของหาย</t>
        </is>
      </c>
      <c r="D29" s="15" t="inlineStr">
        <is>
          <t>แนบรูปชนิดไม่รองรับ</t>
        </is>
      </c>
      <c r="E29" s="15" t="inlineStr">
        <is>
          <t>Login เป็นนิสิต</t>
        </is>
      </c>
      <c r="F29" s="15" t="inlineStr">
        <is>
          <t>1. แนบไฟล์ .gif หรือ .pdf
2. กด ส่ง</t>
        </is>
      </c>
      <c r="G29" s="15" t="inlineStr">
        <is>
          <t>file.pdf</t>
        </is>
      </c>
      <c r="H29" s="15" t="inlineStr">
        <is>
          <t>ปฏิเสธไฟล์ รองรับเฉพาะ JPG/PNG/WebP</t>
        </is>
      </c>
      <c r="I29" s="15" t="inlineStr">
        <is>
          <t>HTTP 400 “ใช้รูป JPG, PNG หรือ WebP เท่านั้น”</t>
        </is>
      </c>
      <c r="J29" s="14" t="inlineStr">
        <is>
          <t>Pass</t>
        </is>
      </c>
      <c r="K29" s="14" t="inlineStr">
        <is>
          <t>Medium</t>
        </is>
      </c>
      <c r="L29" s="14" t="inlineStr">
        <is>
          <t>Negative</t>
        </is>
      </c>
      <c r="M29" s="15" t="inlineStr">
        <is>
          <t>Claude (ทดสอบอัตโนมัติ)</t>
        </is>
      </c>
      <c r="N29" s="21" t="n">
        <v>46320</v>
      </c>
      <c r="O29" s="15" t="inlineStr"/>
    </row>
    <row r="30" ht="40" customHeight="1">
      <c r="A30" s="14" t="inlineStr">
        <is>
          <t>TC-FR02-07</t>
        </is>
      </c>
      <c r="B30" s="14" t="inlineStr">
        <is>
          <t>FR-02</t>
        </is>
      </c>
      <c r="C30" s="15" t="inlineStr">
        <is>
          <t>แจ้งของหาย</t>
        </is>
      </c>
      <c r="D30" s="15" t="inlineStr">
        <is>
          <t>แนบรูปขนาดเกิน 5 MB</t>
        </is>
      </c>
      <c r="E30" s="15" t="inlineStr">
        <is>
          <t>Login เป็นนิสิต</t>
        </is>
      </c>
      <c r="F30" s="15" t="inlineStr">
        <is>
          <t>1. แนบรูปขนาด 5.1 MB
2. กด ส่ง</t>
        </is>
      </c>
      <c r="G30" s="15" t="inlineStr">
        <is>
          <t>big.jpg (5.1 MB)</t>
        </is>
      </c>
      <c r="H30" s="15" t="inlineStr">
        <is>
          <t>ปฏิเสธ แจ้งไฟล์ใหญ่เกินกำหนด</t>
        </is>
      </c>
      <c r="I30" s="15" t="inlineStr">
        <is>
          <t>ไฟล์ 5.1 MB: HTTP 400 “File too large”</t>
        </is>
      </c>
      <c r="J30" s="14" t="inlineStr">
        <is>
          <t>Pass</t>
        </is>
      </c>
      <c r="K30" s="14" t="inlineStr">
        <is>
          <t>Medium</t>
        </is>
      </c>
      <c r="L30" s="14" t="inlineStr">
        <is>
          <t>Boundary</t>
        </is>
      </c>
      <c r="M30" s="15" t="inlineStr">
        <is>
          <t>Claude (ทดสอบอัตโนมัติ)</t>
        </is>
      </c>
      <c r="N30" s="21" t="n">
        <v>46320</v>
      </c>
      <c r="O30" s="15" t="inlineStr"/>
    </row>
    <row r="31" ht="60" customHeight="1">
      <c r="A31" s="14" t="inlineStr">
        <is>
          <t>TC-FR02-08</t>
        </is>
      </c>
      <c r="B31" s="14" t="inlineStr">
        <is>
          <t>FR-02</t>
        </is>
      </c>
      <c r="C31" s="15" t="inlineStr">
        <is>
          <t>แจ้งของหาย</t>
        </is>
      </c>
      <c r="D31" s="15" t="inlineStr">
        <is>
          <t>ระบุวันที่หายเป็นอนาคต</t>
        </is>
      </c>
      <c r="E31" s="15" t="inlineStr">
        <is>
          <t>Login เป็นนิสิต</t>
        </is>
      </c>
      <c r="F31" s="15" t="inlineStr">
        <is>
          <t>1. เลือกวันที่หายเป็นวันพรุ่งนี้
2. กด ส่ง</t>
        </is>
      </c>
      <c r="G31" s="15" t="inlineStr">
        <is>
          <t>วันที่: พรุ่งนี้</t>
        </is>
      </c>
      <c r="H31" s="15" t="inlineStr">
        <is>
          <t>ไม่ให้บันทึก หรือแจ้งเตือนวันที่ไม่ถูกต้อง</t>
        </is>
      </c>
      <c r="I31" s="15" t="inlineStr">
        <is>
          <t>รอบ 2 (หลังแก้): ส่งวันที่พรุ่งนี้ได้ HTTP 400 “lost_date must not be in the future” ไม่บันทึก; ช่องวันที่ในฟอร์มตั้ง max เป็นวันนี้ (เวลาไทย)
รอบ 1: ระบบรับวันที่ในอนาคต (HTTP 201)</t>
        </is>
      </c>
      <c r="J31" s="14" t="inlineStr">
        <is>
          <t>Pass</t>
        </is>
      </c>
      <c r="K31" s="14" t="inlineStr">
        <is>
          <t>Medium</t>
        </is>
      </c>
      <c r="L31" s="14" t="inlineStr">
        <is>
          <t>Negative</t>
        </is>
      </c>
      <c r="M31" s="15" t="inlineStr">
        <is>
          <t>Claude (ทดสอบอัตโนมัติ)</t>
        </is>
      </c>
      <c r="N31" s="21" t="n">
        <v>46320</v>
      </c>
      <c r="O31" s="15" t="inlineStr">
        <is>
          <t>แก้ BUG-02 แล้วใน backend/validation.js และ ReportForm.jsx — รอบ 1 Fail, รอบ 2 Pass</t>
        </is>
      </c>
    </row>
    <row r="32" ht="60" customHeight="1">
      <c r="A32" s="14" t="inlineStr">
        <is>
          <t>TC-FR02-09</t>
        </is>
      </c>
      <c r="B32" s="14" t="inlineStr">
        <is>
          <t>FR-02</t>
        </is>
      </c>
      <c r="C32" s="15" t="inlineStr">
        <is>
          <t>แจ้งของหาย</t>
        </is>
      </c>
      <c r="D32" s="15" t="inlineStr">
        <is>
          <t>เลือกสถานที่จากแผนที่ / รายการแนะนำ</t>
        </is>
      </c>
      <c r="E32" s="15" t="inlineStr">
        <is>
          <t>Login เป็นนิสิต</t>
        </is>
      </c>
      <c r="F32" s="15" t="inlineStr">
        <is>
          <t>1. พิมพ์ชื่อสถานที่บางส่วน
2. เลือกจากรายการแนะนำ หรือปักหมุดบนแผนที่</t>
        </is>
      </c>
      <c r="G32" s="15" t="inlineStr">
        <is>
          <t>สถานที่: อาคาร 15</t>
        </is>
      </c>
      <c r="H32" s="15" t="inlineStr">
        <is>
          <t>บันทึกชื่อสถานที่และพิกัดถูกต้อง</t>
        </is>
      </c>
      <c r="I32" s="15" t="inlineStr">
        <is>
          <t>บันทึก: อาคาร 15 (13.8466, 100.5703)</t>
        </is>
      </c>
      <c r="J32" s="14" t="inlineStr">
        <is>
          <t>Pass</t>
        </is>
      </c>
      <c r="K32" s="14" t="inlineStr">
        <is>
          <t>Medium</t>
        </is>
      </c>
      <c r="L32" s="14" t="inlineStr">
        <is>
          <t>Positive</t>
        </is>
      </c>
      <c r="M32" s="15" t="inlineStr">
        <is>
          <t>Claude (ทดสอบอัตโนมัติ)</t>
        </is>
      </c>
      <c r="N32" s="21" t="n">
        <v>46320</v>
      </c>
      <c r="O32" s="15" t="inlineStr"/>
    </row>
    <row r="33" ht="40" customHeight="1">
      <c r="A33" s="14" t="inlineStr">
        <is>
          <t>TC-FR02-10</t>
        </is>
      </c>
      <c r="B33" s="14" t="inlineStr">
        <is>
          <t>FR-02</t>
        </is>
      </c>
      <c r="C33" s="15" t="inlineStr">
        <is>
          <t>แจ้งของหาย</t>
        </is>
      </c>
      <c r="D33" s="15" t="inlineStr">
        <is>
          <t>ผู้ที่ไม่ได้ Login แจ้งของหาย</t>
        </is>
      </c>
      <c r="E33" s="15" t="inlineStr">
        <is>
          <t>ยังไม่ Login</t>
        </is>
      </c>
      <c r="F33" s="15" t="inlineStr">
        <is>
          <t>1. เปิด URL หน้าแจ้งของหายโดยตรง</t>
        </is>
      </c>
      <c r="G33" s="15" t="inlineStr">
        <is>
          <t>-</t>
        </is>
      </c>
      <c r="H33" s="15" t="inlineStr">
        <is>
          <t>ถูกพาไปหน้า Login</t>
        </is>
      </c>
      <c r="I33" s="15" t="inlineStr">
        <is>
          <t>ไม่มี session: HTTP 401 “Session expired, inactive or invalid”</t>
        </is>
      </c>
      <c r="J33" s="14" t="inlineStr">
        <is>
          <t>Pass</t>
        </is>
      </c>
      <c r="K33" s="14" t="inlineStr">
        <is>
          <t>High</t>
        </is>
      </c>
      <c r="L33" s="14" t="inlineStr">
        <is>
          <t>Security</t>
        </is>
      </c>
      <c r="M33" s="15" t="inlineStr">
        <is>
          <t>Claude (ทดสอบอัตโนมัติ)</t>
        </is>
      </c>
      <c r="N33" s="21" t="n">
        <v>46320</v>
      </c>
      <c r="O33" s="15" t="inlineStr"/>
    </row>
    <row r="34" ht="100" customHeight="1">
      <c r="A34" s="14" t="inlineStr">
        <is>
          <t>TC-FR03-01</t>
        </is>
      </c>
      <c r="B34" s="14" t="inlineStr">
        <is>
          <t>FR-03</t>
        </is>
      </c>
      <c r="C34" s="15" t="inlineStr">
        <is>
          <t>แจ้งของพบ</t>
        </is>
      </c>
      <c r="D34" s="15" t="inlineStr">
        <is>
          <t>แจ้งของพบพร้อมระบุจุดฝาก</t>
        </is>
      </c>
      <c r="E34" s="15" t="inlineStr">
        <is>
          <t>Login เป็นนิสิต</t>
        </is>
      </c>
      <c r="F34" s="15" t="inlineStr">
        <is>
          <t>1. กด แจ้งของพบ
2. กรอกข้อมูล สถานที่พบ จุดฝาก
3. แนบรูป
4. กด ส่ง</t>
        </is>
      </c>
      <c r="G34" s="15" t="inlineStr">
        <is>
          <t>ชื่อ: บัตรนิสิต
จุดฝาก: ตึกกิจการนิสิต</t>
        </is>
      </c>
      <c r="H34" s="15" t="inlineStr">
        <is>
          <t>บันทึกสำเร็จ แสดงในหน้าของพบ พร้อมจุดฝาก</t>
        </is>
      </c>
      <c r="I34" s="15" t="inlineStr">
        <is>
          <t>HTTP 201 item_id=1; รายการแสดงจุดฝาก</t>
        </is>
      </c>
      <c r="J34" s="14" t="inlineStr">
        <is>
          <t>Pass</t>
        </is>
      </c>
      <c r="K34" s="14" t="inlineStr">
        <is>
          <t>High</t>
        </is>
      </c>
      <c r="L34" s="14" t="inlineStr">
        <is>
          <t>Positive</t>
        </is>
      </c>
      <c r="M34" s="15" t="inlineStr">
        <is>
          <t>Claude (ทดสอบอัตโนมัติ)</t>
        </is>
      </c>
      <c r="N34" s="21" t="n">
        <v>46320</v>
      </c>
      <c r="O34" s="15" t="inlineStr"/>
    </row>
    <row r="35" ht="40" customHeight="1">
      <c r="A35" s="14" t="inlineStr">
        <is>
          <t>TC-FR03-02</t>
        </is>
      </c>
      <c r="B35" s="14" t="inlineStr">
        <is>
          <t>FR-03</t>
        </is>
      </c>
      <c r="C35" s="15" t="inlineStr">
        <is>
          <t>แจ้งของพบ</t>
        </is>
      </c>
      <c r="D35" s="15" t="inlineStr">
        <is>
          <t>แจ้งของพบไม่ระบุจุดฝาก</t>
        </is>
      </c>
      <c r="E35" s="15" t="inlineStr">
        <is>
          <t>Login เป็นนิสิต</t>
        </is>
      </c>
      <c r="F35" s="15" t="inlineStr">
        <is>
          <t>1. เว้นช่องจุดฝาก
2. กด ส่ง</t>
        </is>
      </c>
      <c r="G35" s="15" t="inlineStr">
        <is>
          <t>-</t>
        </is>
      </c>
      <c r="H35" s="15" t="inlineStr">
        <is>
          <t>ระบบบังคับ หรือแจ้งให้เลือกจุดฝาก ตามที่ออกแบบ</t>
        </is>
      </c>
      <c r="I35" s="15" t="inlineStr">
        <is>
          <t>ไม่ระบุจุดฝาก: HTTP 400 “กรุณาเลือกจุดรับฝากที่ถูกต้อง” — ไม่บันทึก</t>
        </is>
      </c>
      <c r="J35" s="14" t="inlineStr">
        <is>
          <t>Pass</t>
        </is>
      </c>
      <c r="K35" s="14" t="inlineStr">
        <is>
          <t>Medium</t>
        </is>
      </c>
      <c r="L35" s="14" t="inlineStr">
        <is>
          <t>Negative</t>
        </is>
      </c>
      <c r="M35" s="15" t="inlineStr">
        <is>
          <t>Claude (ทดสอบอัตโนมัติ)</t>
        </is>
      </c>
      <c r="N35" s="21" t="n">
        <v>46320</v>
      </c>
      <c r="O35" s="15" t="inlineStr"/>
    </row>
    <row r="36" ht="80" customHeight="1">
      <c r="A36" s="14" t="inlineStr">
        <is>
          <t>TC-FR03-03</t>
        </is>
      </c>
      <c r="B36" s="14" t="inlineStr">
        <is>
          <t>FR-03</t>
        </is>
      </c>
      <c r="C36" s="15" t="inlineStr">
        <is>
          <t>แจ้งของพบ</t>
        </is>
      </c>
      <c r="D36" s="15" t="inlineStr">
        <is>
          <t>เจ้าหน้าที่อัปเดตจุดฝากปัจจุบัน</t>
        </is>
      </c>
      <c r="E36" s="15" t="inlineStr">
        <is>
          <t>Login เป็น Staff มีรายการของพบ</t>
        </is>
      </c>
      <c r="F36" s="15" t="inlineStr">
        <is>
          <t>1. เปิดรายการของพบในหน้า Admin
2. เปลี่ยนจุดฝาก
3. บันทึก</t>
        </is>
      </c>
      <c r="G36" s="15" t="inlineStr">
        <is>
          <t>จุดฝากใหม่: สำนักหอสมุด</t>
        </is>
      </c>
      <c r="H36" s="15" t="inlineStr">
        <is>
          <t>จุดฝากเปลี่ยน แสดงผลใหม่ฝั่งผู้ใช้ มีบันทึก audit</t>
        </is>
      </c>
      <c r="I36" s="15" t="inlineStr">
        <is>
          <t>HTTP 200; จุดฝากใหม่: สำนักหอสมุด; audit 1 รายการ</t>
        </is>
      </c>
      <c r="J36" s="14" t="inlineStr">
        <is>
          <t>Pass</t>
        </is>
      </c>
      <c r="K36" s="14" t="inlineStr">
        <is>
          <t>High</t>
        </is>
      </c>
      <c r="L36" s="14" t="inlineStr">
        <is>
          <t>Positive</t>
        </is>
      </c>
      <c r="M36" s="15" t="inlineStr">
        <is>
          <t>Claude (ทดสอบอัตโนมัติ)</t>
        </is>
      </c>
      <c r="N36" s="21" t="n">
        <v>46320</v>
      </c>
      <c r="O36" s="15" t="inlineStr"/>
    </row>
    <row r="37" ht="60" customHeight="1">
      <c r="A37" s="14" t="inlineStr">
        <is>
          <t>TC-FR03-04</t>
        </is>
      </c>
      <c r="B37" s="14" t="inlineStr">
        <is>
          <t>FR-03</t>
        </is>
      </c>
      <c r="C37" s="15" t="inlineStr">
        <is>
          <t>แจ้งของพบ</t>
        </is>
      </c>
      <c r="D37" s="15" t="inlineStr">
        <is>
          <t>นิสิตทั่วไปพยายามแก้จุดฝาก</t>
        </is>
      </c>
      <c r="E37" s="15" t="inlineStr">
        <is>
          <t>Login เป็นนิสิต</t>
        </is>
      </c>
      <c r="F37" s="15" t="inlineStr">
        <is>
          <t>1. เรียก API แก้จุดฝากของรายการผู้อื่น</t>
        </is>
      </c>
      <c r="G37" s="15" t="inlineStr">
        <is>
          <t>-</t>
        </is>
      </c>
      <c r="H37" s="15" t="inlineStr">
        <is>
          <t>ได้ 403 Forbidden ข้อมูลไม่เปลี่ยน</t>
        </is>
      </c>
      <c r="I37" s="15" t="inlineStr">
        <is>
          <t>HTTP 401 “Staff or administrator authentication required”; ข้อมูลไม่เปลี่ยน</t>
        </is>
      </c>
      <c r="J37" s="14" t="inlineStr">
        <is>
          <t>Pass</t>
        </is>
      </c>
      <c r="K37" s="14" t="inlineStr">
        <is>
          <t>High</t>
        </is>
      </c>
      <c r="L37" s="14" t="inlineStr">
        <is>
          <t>Security</t>
        </is>
      </c>
      <c r="M37" s="15" t="inlineStr">
        <is>
          <t>Claude (ทดสอบอัตโนมัติ)</t>
        </is>
      </c>
      <c r="N37" s="21" t="n">
        <v>46320</v>
      </c>
      <c r="O37" s="15" t="inlineStr"/>
    </row>
    <row r="38" ht="80" customHeight="1">
      <c r="A38" s="14" t="inlineStr">
        <is>
          <t>TC-FR04-01</t>
        </is>
      </c>
      <c r="B38" s="14" t="inlineStr">
        <is>
          <t>FR-04</t>
        </is>
      </c>
      <c r="C38" s="15" t="inlineStr">
        <is>
          <t>จับคู่อัตโนมัติ</t>
        </is>
      </c>
      <c r="D38" s="15" t="inlineStr">
        <is>
          <t>ของหาย-ของพบลักษณะตรงกันถูกจับคู่</t>
        </is>
      </c>
      <c r="E38" s="15" t="inlineStr">
        <is>
          <t>มีรายการของหาย</t>
        </is>
      </c>
      <c r="F38" s="15" t="inlineStr">
        <is>
          <t>1. แจ้งของพบประเภท สี สถานที่ และเวลาใกล้เคียงกับของหาย
2. รอระบบประมวลผล</t>
        </is>
      </c>
      <c r="G38" s="15" t="inlineStr">
        <is>
          <t>ของหาย/ของพบ: กระเป๋าสตางค์ดำ อาคาร 15 วันเดียวกัน</t>
        </is>
      </c>
      <c r="H38" s="15" t="inlineStr">
        <is>
          <t>ระบบสร้างคู่ แสดง confidence score สูง</t>
        </is>
      </c>
      <c r="I38" s="15" t="inlineStr">
        <is>
          <t>สร้างคู่ match_id=1 score=99.00</t>
        </is>
      </c>
      <c r="J38" s="14" t="inlineStr">
        <is>
          <t>Pass</t>
        </is>
      </c>
      <c r="K38" s="14" t="inlineStr">
        <is>
          <t>High</t>
        </is>
      </c>
      <c r="L38" s="14" t="inlineStr">
        <is>
          <t>Positive</t>
        </is>
      </c>
      <c r="M38" s="15" t="inlineStr">
        <is>
          <t>Claude (ทดสอบอัตโนมัติ)</t>
        </is>
      </c>
      <c r="N38" s="21" t="n">
        <v>46320</v>
      </c>
      <c r="O38" s="15" t="inlineStr">
        <is>
          <t>จำลองผลเปรียบเทียบรูปเป็น 100 (ไม่ได้รันโมเดล vision จริง) — score รวม = 0.4×ข้อความ + 0.6×รูป, เกณฑ์ 95</t>
        </is>
      </c>
    </row>
    <row r="39" ht="40" customHeight="1">
      <c r="A39" s="14" t="inlineStr">
        <is>
          <t>TC-FR04-02</t>
        </is>
      </c>
      <c r="B39" s="14" t="inlineStr">
        <is>
          <t>FR-04</t>
        </is>
      </c>
      <c r="C39" s="15" t="inlineStr">
        <is>
          <t>จับคู่อัตโนมัติ</t>
        </is>
      </c>
      <c r="D39" s="15" t="inlineStr">
        <is>
          <t>ของต่างประเภทไม่ถูกจับคู่</t>
        </is>
      </c>
      <c r="E39" s="15" t="inlineStr">
        <is>
          <t>มีรายการของหาย</t>
        </is>
      </c>
      <c r="F39" s="15" t="inlineStr">
        <is>
          <t>1. แจ้งของพบประเภทต่างกันสิ้นเชิง</t>
        </is>
      </c>
      <c r="G39" s="15" t="inlineStr">
        <is>
          <t>ของหาย: ร่ม / ของพบ: โทรศัพท์</t>
        </is>
      </c>
      <c r="H39" s="15" t="inlineStr">
        <is>
          <t>ไม่สร้างคู่ หรือ score ต่ำกว่าเกณฑ์</t>
        </is>
      </c>
      <c r="I39" s="15" t="inlineStr">
        <is>
          <t>ไม่สร้างคู่ระหว่างร่มกับโทรศัพท์</t>
        </is>
      </c>
      <c r="J39" s="14" t="inlineStr">
        <is>
          <t>Pass</t>
        </is>
      </c>
      <c r="K39" s="14" t="inlineStr">
        <is>
          <t>High</t>
        </is>
      </c>
      <c r="L39" s="14" t="inlineStr">
        <is>
          <t>Negative</t>
        </is>
      </c>
      <c r="M39" s="15" t="inlineStr">
        <is>
          <t>Claude (ทดสอบอัตโนมัติ)</t>
        </is>
      </c>
      <c r="N39" s="21" t="n">
        <v>46320</v>
      </c>
      <c r="O39" s="15" t="inlineStr"/>
    </row>
    <row r="40" ht="40" customHeight="1">
      <c r="A40" s="14" t="inlineStr">
        <is>
          <t>TC-FR04-03</t>
        </is>
      </c>
      <c r="B40" s="14" t="inlineStr">
        <is>
          <t>FR-04</t>
        </is>
      </c>
      <c r="C40" s="15" t="inlineStr">
        <is>
          <t>จับคู่อัตโนมัติ</t>
        </is>
      </c>
      <c r="D40" s="15" t="inlineStr">
        <is>
          <t>ช่วงเวลาห่างกันมากลดคะแนน</t>
        </is>
      </c>
      <c r="E40" s="15" t="inlineStr">
        <is>
          <t>มีรายการของหาย</t>
        </is>
      </c>
      <c r="F40" s="15" t="inlineStr">
        <is>
          <t>1. แจ้งของพบลักษณะตรงกัน แต่วันที่ห่างหลายเดือน</t>
        </is>
      </c>
      <c r="G40" s="15" t="inlineStr">
        <is>
          <t>ห่าง 6 เดือน</t>
        </is>
      </c>
      <c r="H40" s="15" t="inlineStr">
        <is>
          <t>score ต่ำกว่ากรณีวันใกล้กัน</t>
        </is>
      </c>
      <c r="I40" s="15" t="inlineStr">
        <is>
          <t>วันเดียวกัน score=99.00; ห่าง 180 วัน score=95.30</t>
        </is>
      </c>
      <c r="J40" s="14" t="inlineStr">
        <is>
          <t>Pass</t>
        </is>
      </c>
      <c r="K40" s="14" t="inlineStr">
        <is>
          <t>Medium</t>
        </is>
      </c>
      <c r="L40" s="14" t="inlineStr">
        <is>
          <t>Positive</t>
        </is>
      </c>
      <c r="M40" s="15" t="inlineStr">
        <is>
          <t>Claude (ทดสอบอัตโนมัติ)</t>
        </is>
      </c>
      <c r="N40" s="21" t="n">
        <v>46320</v>
      </c>
      <c r="O40" s="15" t="inlineStr">
        <is>
          <t>จำลองผลเปรียบเทียบรูปเช่นเดียวกับ TC-FR04-01</t>
        </is>
      </c>
    </row>
    <row r="41" ht="60" customHeight="1">
      <c r="A41" s="14" t="inlineStr">
        <is>
          <t>TC-FR04-04</t>
        </is>
      </c>
      <c r="B41" s="14" t="inlineStr">
        <is>
          <t>FR-04</t>
        </is>
      </c>
      <c r="C41" s="15" t="inlineStr">
        <is>
          <t>จับคู่อัตโนมัติ</t>
        </is>
      </c>
      <c r="D41" s="15" t="inlineStr">
        <is>
          <t>เวลาประมวลผลจับคู่ไม่เกิน 5 วินาที</t>
        </is>
      </c>
      <c r="E41" s="15" t="inlineStr">
        <is>
          <t>ระบบพร้อมใช้งาน</t>
        </is>
      </c>
      <c r="F41" s="15" t="inlineStr">
        <is>
          <t>1. ส่งรายการของพบ
2. จับเวลาจนผลจับคู่ปรากฏ</t>
        </is>
      </c>
      <c r="G41" s="15" t="inlineStr">
        <is>
          <t>-</t>
        </is>
      </c>
      <c r="H41" s="15" t="inlineStr">
        <is>
          <t>ผลจับคู่ภายใน 5 วินาที</t>
        </is>
      </c>
      <c r="I41" s="15" t="inlineStr">
        <is>
          <t>ใช้เวลา 13 ms (เครื่อง local + ฐานทดสอบในหน่วยความจำ ไม่ได้เปรียบเทียบรูปด้วย AI จริง)</t>
        </is>
      </c>
      <c r="J41" s="14" t="inlineStr">
        <is>
          <t>Pass</t>
        </is>
      </c>
      <c r="K41" s="14" t="inlineStr">
        <is>
          <t>Medium</t>
        </is>
      </c>
      <c r="L41" s="14" t="inlineStr">
        <is>
          <t>Performance</t>
        </is>
      </c>
      <c r="M41" s="15" t="inlineStr">
        <is>
          <t>Claude (ทดสอบอัตโนมัติ)</t>
        </is>
      </c>
      <c r="N41" s="21" t="n">
        <v>46320</v>
      </c>
      <c r="O41" s="15" t="inlineStr">
        <is>
          <t>วัดบนฐานทดสอบในเครื่อง ไม่รวมโมเดล vision จริง เครือข่าย และอีเมล — ยังไม่ใช่การวัดตามเกณฑ์ NFR บน production</t>
        </is>
      </c>
    </row>
    <row r="42" ht="80" customHeight="1">
      <c r="A42" s="14" t="inlineStr">
        <is>
          <t>TC-FR05-01</t>
        </is>
      </c>
      <c r="B42" s="14" t="inlineStr">
        <is>
          <t>FR-05</t>
        </is>
      </c>
      <c r="C42" s="15" t="inlineStr">
        <is>
          <t>การแจ้งเตือน</t>
        </is>
      </c>
      <c r="D42" s="15" t="inlineStr">
        <is>
          <t>แจ้งเตือนทั้งสองฝ่ายเมื่อพบคู่</t>
        </is>
      </c>
      <c r="E42" s="15" t="inlineStr">
        <is>
          <t>มีคู่ที่ระบบจับได้</t>
        </is>
      </c>
      <c r="F42" s="15" t="inlineStr">
        <is>
          <t>1. Login ทั้งผู้แจ้งหายและผู้แจ้งพบ
2. เปิดหน้าแจ้งเตือน</t>
        </is>
      </c>
      <c r="G42" s="15" t="inlineStr">
        <is>
          <t>-</t>
        </is>
      </c>
      <c r="H42" s="15" t="inlineStr">
        <is>
          <t>ทั้งสองฝ่ายได้รับแจ้งเตือนในระบบ และอีเมล</t>
        </is>
      </c>
      <c r="I42" s="15" t="inlineStr">
        <is>
          <t>รอบ 4 (หลังแก้): เมื่อระบบพบคู่ ทั้งผู้แจ้งหายและผู้แจ้งพบได้รับแจ้งเตือนในระบบ และอีเมลหัวเรื่อง “FOUND&amp;LOST: พบสิ่งของที่อาจตรงกัน” (ดักอีเมลไว้ ไม่ส่งจริง) อีเมลไม่มีข้อมูลของอีกฝ่าย และไม่ส่งซ้ำเมื่อจับคู่ซ้ำ
รอบ 1: แจ้งเฉพาะในระบบ ไม่ส่งอีเมล</t>
        </is>
      </c>
      <c r="J42" s="14" t="inlineStr">
        <is>
          <t>Pass</t>
        </is>
      </c>
      <c r="K42" s="14" t="inlineStr">
        <is>
          <t>High</t>
        </is>
      </c>
      <c r="L42" s="14" t="inlineStr">
        <is>
          <t>Positive</t>
        </is>
      </c>
      <c r="M42" s="15" t="inlineStr">
        <is>
          <t>Claude (ทดสอบอัตโนมัติ)</t>
        </is>
      </c>
      <c r="N42" s="21" t="n">
        <v>46320</v>
      </c>
      <c r="O42" s="15" t="inlineStr">
        <is>
          <t>แก้แล้ว: matchingController.js ใส่อีเมลลง mail_outbox (scheduler ส่ง + ลองใหม่เมื่อล้มเหลว); ยังไม่ได้ทดสอบกับ SMTP จริง</t>
        </is>
      </c>
    </row>
    <row r="43" ht="40" customHeight="1">
      <c r="A43" s="14" t="inlineStr">
        <is>
          <t>TC-FR05-02</t>
        </is>
      </c>
      <c r="B43" s="14" t="inlineStr">
        <is>
          <t>FR-05</t>
        </is>
      </c>
      <c r="C43" s="15" t="inlineStr">
        <is>
          <t>การแจ้งเตือน</t>
        </is>
      </c>
      <c r="D43" s="15" t="inlineStr">
        <is>
          <t>อ่านแจ้งเตือนแล้วตัวนับลดลง</t>
        </is>
      </c>
      <c r="E43" s="15" t="inlineStr">
        <is>
          <t>มีแจ้งเตือนยังไม่อ่าน</t>
        </is>
      </c>
      <c r="F43" s="15" t="inlineStr">
        <is>
          <t>1. กดเปิดแจ้งเตือน</t>
        </is>
      </c>
      <c r="G43" s="15" t="inlineStr">
        <is>
          <t>-</t>
        </is>
      </c>
      <c r="H43" s="15" t="inlineStr">
        <is>
          <t>สถานะเปลี่ยนเป็นอ่านแล้ว ตัวเลขบน Navbar ลดลง</t>
        </is>
      </c>
      <c r="I43" s="15" t="inlineStr">
        <is>
          <t>ยังไม่อ่าน 1 → 0</t>
        </is>
      </c>
      <c r="J43" s="14" t="inlineStr">
        <is>
          <t>Pass</t>
        </is>
      </c>
      <c r="K43" s="14" t="inlineStr">
        <is>
          <t>Low</t>
        </is>
      </c>
      <c r="L43" s="14" t="inlineStr">
        <is>
          <t>Positive</t>
        </is>
      </c>
      <c r="M43" s="15" t="inlineStr">
        <is>
          <t>Claude (ทดสอบอัตโนมัติ)</t>
        </is>
      </c>
      <c r="N43" s="21" t="n">
        <v>46320</v>
      </c>
      <c r="O43" s="15" t="inlineStr"/>
    </row>
    <row r="44" ht="100" customHeight="1">
      <c r="A44" s="14" t="inlineStr">
        <is>
          <t>TC-FR06-01</t>
        </is>
      </c>
      <c r="B44" s="14" t="inlineStr">
        <is>
          <t>FR-06</t>
        </is>
      </c>
      <c r="C44" s="15" t="inlineStr">
        <is>
          <t>ปกปิดข้อมูล</t>
        </is>
      </c>
      <c r="D44" s="15" t="inlineStr">
        <is>
          <t>ลักษณะเฉพาะไม่แสดงในรายการทั่วไป</t>
        </is>
      </c>
      <c r="E44" s="15" t="inlineStr">
        <is>
          <t>มีรายการที่กรอกลักษณะเฉพาะ (private details)</t>
        </is>
      </c>
      <c r="F44" s="15" t="inlineStr">
        <is>
          <t>1. Login เป็นผู้ใช้อื่น
2. เปิดรายการและหน้ารายละเอียด
3. ตรวจ response API</t>
        </is>
      </c>
      <c r="G44" s="15" t="inlineStr">
        <is>
          <t>-</t>
        </is>
      </c>
      <c r="H44" s="15" t="inlineStr">
        <is>
          <t>ไม่เห็นลักษณะเฉพาะทั้งบนหน้าเว็บและใน API</t>
        </is>
      </c>
      <c r="I44" s="15" t="inlineStr">
        <is>
          <t>รายการ 200 / รายละเอียด 200 — ไม่มีลักษณะเฉพาะใน response</t>
        </is>
      </c>
      <c r="J44" s="14" t="inlineStr">
        <is>
          <t>Pass</t>
        </is>
      </c>
      <c r="K44" s="14" t="inlineStr">
        <is>
          <t>High</t>
        </is>
      </c>
      <c r="L44" s="14" t="inlineStr">
        <is>
          <t>Security</t>
        </is>
      </c>
      <c r="M44" s="15" t="inlineStr">
        <is>
          <t>Claude (ทดสอบอัตโนมัติ)</t>
        </is>
      </c>
      <c r="N44" s="21" t="n">
        <v>46320</v>
      </c>
      <c r="O44" s="15" t="inlineStr"/>
    </row>
    <row r="45" ht="100" customHeight="1">
      <c r="A45" s="14" t="inlineStr">
        <is>
          <t>TC-FR06-02</t>
        </is>
      </c>
      <c r="B45" s="14" t="inlineStr">
        <is>
          <t>FR-06</t>
        </is>
      </c>
      <c r="C45" s="15" t="inlineStr">
        <is>
          <t>ปกปิดข้อมูล</t>
        </is>
      </c>
      <c r="D45" s="15" t="inlineStr">
        <is>
          <t>เจ้าของรายการเห็นลักษณะเฉพาะของตนเอง</t>
        </is>
      </c>
      <c r="E45" s="15" t="inlineStr">
        <is>
          <t>Login เป็นเจ้าของรายการ</t>
        </is>
      </c>
      <c r="F45" s="15" t="inlineStr">
        <is>
          <t>1. เปิดรายการของตนเอง</t>
        </is>
      </c>
      <c r="G45" s="15" t="inlineStr">
        <is>
          <t>-</t>
        </is>
      </c>
      <c r="H45" s="15" t="inlineStr">
        <is>
          <t>เห็นลักษณะเฉพาะที่ตนกรอก</t>
        </is>
      </c>
      <c r="I45" s="15" t="inlineStr">
        <is>
          <t>รอบ 3 (หลังแก้): หน้า “ประวัติการแจ้งของฉัน” แสดงกล่อง “ลักษณะเฉพาะที่ปกปิด (เห็นเฉพาะคุณและเจ้าหน้าที่)” พร้อมข้อความที่เจ้าของกรอกไว้ (ทดสอบทั้งภาษาไทยและอังกฤษ) ผู้ใช้อื่นและรายการสาธารณะยังไม่เห็น
รอบ 1: ไม่มีหน้าใดให้เจ้าของดูลักษณะเฉพาะของตนย้อนหลัง</t>
        </is>
      </c>
      <c r="J45" s="14" t="inlineStr">
        <is>
          <t>Pass</t>
        </is>
      </c>
      <c r="K45" s="14" t="inlineStr">
        <is>
          <t>Medium</t>
        </is>
      </c>
      <c r="L45" s="14" t="inlineStr">
        <is>
          <t>Positive</t>
        </is>
      </c>
      <c r="M45" s="15" t="inlineStr">
        <is>
          <t>Claude (ทดสอบอัตโนมัติ)</t>
        </is>
      </c>
      <c r="N45" s="21" t="n">
        <v>46320</v>
      </c>
      <c r="O45" s="15" t="inlineStr">
        <is>
          <t>แก้แล้ว: /api/me/items ส่งลักษณะเฉพาะ (ถอดรหัส) เฉพาะรายการของผู้เรียก + แสดงใน ItemHistory.jsx; หน้ารายละเอียดและรายการสาธารณะไม่เปลี่ยน; ภาพหน้าจอ TC-FR06-02.png</t>
        </is>
      </c>
    </row>
    <row r="46" ht="40" customHeight="1">
      <c r="A46" s="14" t="inlineStr">
        <is>
          <t>TC-FR06-03</t>
        </is>
      </c>
      <c r="B46" s="14" t="inlineStr">
        <is>
          <t>FR-06</t>
        </is>
      </c>
      <c r="C46" s="15" t="inlineStr">
        <is>
          <t>ปกปิดข้อมูล</t>
        </is>
      </c>
      <c r="D46" s="15" t="inlineStr">
        <is>
          <t>ไม่แสดงข้อมูลติดต่อผู้แจ้งต่อสาธารณะ</t>
        </is>
      </c>
      <c r="E46" s="15" t="inlineStr">
        <is>
          <t>ยังไม่ Login</t>
        </is>
      </c>
      <c r="F46" s="15" t="inlineStr">
        <is>
          <t>1. เปิดหน้ารายการของพบ</t>
        </is>
      </c>
      <c r="G46" s="15" t="inlineStr">
        <is>
          <t>-</t>
        </is>
      </c>
      <c r="H46" s="15" t="inlineStr">
        <is>
          <t>ไม่แสดงอีเมล/เบอร์โทร/รหัสนิสิตของผู้แจ้ง</t>
        </is>
      </c>
      <c r="I46" s="15" t="inlineStr">
        <is>
          <t>ไม่มีอีเมล รหัสนิสิต หรือเบอร์ผู้แจ้งในรายการสาธารณะ</t>
        </is>
      </c>
      <c r="J46" s="14" t="inlineStr">
        <is>
          <t>Pass</t>
        </is>
      </c>
      <c r="K46" s="14" t="inlineStr">
        <is>
          <t>High</t>
        </is>
      </c>
      <c r="L46" s="14" t="inlineStr">
        <is>
          <t>Security</t>
        </is>
      </c>
      <c r="M46" s="15" t="inlineStr">
        <is>
          <t>Claude (ทดสอบอัตโนมัติ)</t>
        </is>
      </c>
      <c r="N46" s="21" t="n">
        <v>46320</v>
      </c>
      <c r="O46" s="15" t="inlineStr"/>
    </row>
    <row r="47" ht="100" customHeight="1">
      <c r="A47" s="14" t="inlineStr">
        <is>
          <t>TC-FR07-01</t>
        </is>
      </c>
      <c r="B47" s="14" t="inlineStr">
        <is>
          <t>FR-07</t>
        </is>
      </c>
      <c r="C47" s="15" t="inlineStr">
        <is>
          <t>ขอรับคืน</t>
        </is>
      </c>
      <c r="D47" s="15" t="inlineStr">
        <is>
          <t>ยื่นคำขอรับคืนพร้อมตอบลักษณะเฉพาะ</t>
        </is>
      </c>
      <c r="E47" s="15" t="inlineStr">
        <is>
          <t>Login เป็นเจ้าของ มีคู่ที่จับได้</t>
        </is>
      </c>
      <c r="F47" s="15" t="inlineStr">
        <is>
          <t>1. เปิดรายการคู่
2. กด ขอรับคืน
3. ตอบลักษณะเฉพาะ
4. กด ส่ง</t>
        </is>
      </c>
      <c r="G47" s="15" t="inlineStr">
        <is>
          <t>คำตอบ: มีสติ๊กเกอร์รูปแมวด้านใน</t>
        </is>
      </c>
      <c r="H47" s="15" t="inlineStr">
        <is>
          <t>สร้างคำขอ สถานะ รอยืนยัน</t>
        </is>
      </c>
      <c r="I47" s="15" t="inlineStr">
        <is>
          <t>HTTP 201 claim_id=1 สถานะ pending</t>
        </is>
      </c>
      <c r="J47" s="14" t="inlineStr">
        <is>
          <t>Pass</t>
        </is>
      </c>
      <c r="K47" s="14" t="inlineStr">
        <is>
          <t>High</t>
        </is>
      </c>
      <c r="L47" s="14" t="inlineStr">
        <is>
          <t>Positive</t>
        </is>
      </c>
      <c r="M47" s="15" t="inlineStr">
        <is>
          <t>Claude (ทดสอบอัตโนมัติ)</t>
        </is>
      </c>
      <c r="N47" s="21" t="n">
        <v>46320</v>
      </c>
      <c r="O47" s="15" t="inlineStr"/>
    </row>
    <row r="48" ht="40" customHeight="1">
      <c r="A48" s="14" t="inlineStr">
        <is>
          <t>TC-FR07-02</t>
        </is>
      </c>
      <c r="B48" s="14" t="inlineStr">
        <is>
          <t>FR-07</t>
        </is>
      </c>
      <c r="C48" s="15" t="inlineStr">
        <is>
          <t>ขอรับคืน</t>
        </is>
      </c>
      <c r="D48" s="15" t="inlineStr">
        <is>
          <t>ยื่นคำขอรับคืนซ้ำรายการเดิม</t>
        </is>
      </c>
      <c r="E48" s="15" t="inlineStr">
        <is>
          <t>มีคำขอที่รอยืนยันอยู่แล้ว</t>
        </is>
      </c>
      <c r="F48" s="15" t="inlineStr">
        <is>
          <t>1. กด ขอรับคืนซ้ำ</t>
        </is>
      </c>
      <c r="G48" s="15" t="inlineStr">
        <is>
          <t>-</t>
        </is>
      </c>
      <c r="H48" s="15" t="inlineStr">
        <is>
          <t>ระบบไม่สร้างคำขอซ้ำ แจ้งว่ามีคำขออยู่แล้ว</t>
        </is>
      </c>
      <c r="I48" s="15" t="inlineStr">
        <is>
          <t>HTTP 409 “Item is not available for a claim”</t>
        </is>
      </c>
      <c r="J48" s="14" t="inlineStr">
        <is>
          <t>Pass</t>
        </is>
      </c>
      <c r="K48" s="14" t="inlineStr">
        <is>
          <t>Medium</t>
        </is>
      </c>
      <c r="L48" s="14" t="inlineStr">
        <is>
          <t>Negative</t>
        </is>
      </c>
      <c r="M48" s="15" t="inlineStr">
        <is>
          <t>Claude (ทดสอบอัตโนมัติ)</t>
        </is>
      </c>
      <c r="N48" s="21" t="n">
        <v>46320</v>
      </c>
      <c r="O48" s="15" t="inlineStr"/>
    </row>
    <row r="49" ht="80" customHeight="1">
      <c r="A49" s="14" t="inlineStr">
        <is>
          <t>TC-FR07-03</t>
        </is>
      </c>
      <c r="B49" s="14" t="inlineStr">
        <is>
          <t>FR-07</t>
        </is>
      </c>
      <c r="C49" s="15" t="inlineStr">
        <is>
          <t>ขอรับคืน</t>
        </is>
      </c>
      <c r="D49" s="15" t="inlineStr">
        <is>
          <t>เจ้าหน้าที่อนุมัติคำขอเมื่อคำตอบและตัวตนถูกต้อง</t>
        </is>
      </c>
      <c r="E49" s="15" t="inlineStr">
        <is>
          <t>Login เป็น Staff มีคำขอรอยืนยัน</t>
        </is>
      </c>
      <c r="F49" s="15" t="inlineStr">
        <is>
          <t>1. เปิดคำขอ
2. เทียบคำตอบกับลักษณะเฉพาะ ตรวจบัตร
3. กด อนุมัติ</t>
        </is>
      </c>
      <c r="G49" s="15" t="inlineStr">
        <is>
          <t>-</t>
        </is>
      </c>
      <c r="H49" s="15" t="inlineStr">
        <is>
          <t>สถานะเป็น ยืนยันแล้ว ผู้ขอได้รับแจ้ง</t>
        </is>
      </c>
      <c r="I49" s="15" t="inlineStr">
        <is>
          <t>HTTP 200 สถานะ approved; แจ้งเตือนผู้ขอ 2 รายการ</t>
        </is>
      </c>
      <c r="J49" s="14" t="inlineStr">
        <is>
          <t>Pass</t>
        </is>
      </c>
      <c r="K49" s="14" t="inlineStr">
        <is>
          <t>High</t>
        </is>
      </c>
      <c r="L49" s="14" t="inlineStr">
        <is>
          <t>Positive</t>
        </is>
      </c>
      <c r="M49" s="15" t="inlineStr">
        <is>
          <t>Claude (ทดสอบอัตโนมัติ)</t>
        </is>
      </c>
      <c r="N49" s="21" t="n">
        <v>46320</v>
      </c>
      <c r="O49" s="15" t="inlineStr"/>
    </row>
    <row r="50" ht="60" customHeight="1">
      <c r="A50" s="14" t="inlineStr">
        <is>
          <t>TC-FR07-04</t>
        </is>
      </c>
      <c r="B50" s="14" t="inlineStr">
        <is>
          <t>FR-07</t>
        </is>
      </c>
      <c r="C50" s="15" t="inlineStr">
        <is>
          <t>ขอรับคืน</t>
        </is>
      </c>
      <c r="D50" s="15" t="inlineStr">
        <is>
          <t>เจ้าหน้าที่ปฏิเสธคำขอ</t>
        </is>
      </c>
      <c r="E50" s="15" t="inlineStr">
        <is>
          <t>Login เป็น Staff มีคำขอรอยืนยัน</t>
        </is>
      </c>
      <c r="F50" s="15" t="inlineStr">
        <is>
          <t>1. เปิดคำขอ
2. กด ปฏิเสธ พร้อมเหตุผล</t>
        </is>
      </c>
      <c r="G50" s="15" t="inlineStr">
        <is>
          <t>เหตุผล: คำตอบไม่ตรง</t>
        </is>
      </c>
      <c r="H50" s="15" t="inlineStr">
        <is>
          <t>สถานะเป็น ปฏิเสธ ผู้ขอได้รับแจ้งพร้อมเหตุผล ของยังคงอยู่ในคลัง</t>
        </is>
      </c>
      <c r="I50" s="15" t="inlineStr">
        <is>
          <t>HTTP 200; ผู้ขอเห็นสถานะ rejected + เหตุผล; ของยังอยู่ (deposited)</t>
        </is>
      </c>
      <c r="J50" s="14" t="inlineStr">
        <is>
          <t>Pass</t>
        </is>
      </c>
      <c r="K50" s="14" t="inlineStr">
        <is>
          <t>High</t>
        </is>
      </c>
      <c r="L50" s="14" t="inlineStr">
        <is>
          <t>Positive</t>
        </is>
      </c>
      <c r="M50" s="15" t="inlineStr">
        <is>
          <t>Claude (ทดสอบอัตโนมัติ)</t>
        </is>
      </c>
      <c r="N50" s="21" t="n">
        <v>46320</v>
      </c>
      <c r="O50" s="15" t="inlineStr"/>
    </row>
    <row r="51" ht="60" customHeight="1">
      <c r="A51" s="14" t="inlineStr">
        <is>
          <t>TC-FR07-05</t>
        </is>
      </c>
      <c r="B51" s="14" t="inlineStr">
        <is>
          <t>FR-07</t>
        </is>
      </c>
      <c r="C51" s="15" t="inlineStr">
        <is>
          <t>ขอรับคืน</t>
        </is>
      </c>
      <c r="D51" s="15" t="inlineStr">
        <is>
          <t>บันทึกส่งมอบสิ่งของ</t>
        </is>
      </c>
      <c r="E51" s="15" t="inlineStr">
        <is>
          <t>คำขอได้รับอนุมัติแล้ว</t>
        </is>
      </c>
      <c r="F51" s="15" t="inlineStr">
        <is>
          <t>1. Staff กด ส่งมอบ
2. ยืนยันการส่งมอบ</t>
        </is>
      </c>
      <c r="G51" s="15" t="inlineStr">
        <is>
          <t>-</t>
        </is>
      </c>
      <c r="H51" s="15" t="inlineStr">
        <is>
          <t>สถานะของเป็น รับคืนแล้ว บันทึกผู้ส่งมอบและเวลา</t>
        </is>
      </c>
      <c r="I51" s="15" t="inlineStr">
        <is>
          <t>HTTP 200; สถานะของ returned; ผู้ดำเนินการ st1</t>
        </is>
      </c>
      <c r="J51" s="14" t="inlineStr">
        <is>
          <t>Pass</t>
        </is>
      </c>
      <c r="K51" s="14" t="inlineStr">
        <is>
          <t>High</t>
        </is>
      </c>
      <c r="L51" s="14" t="inlineStr">
        <is>
          <t>Positive</t>
        </is>
      </c>
      <c r="M51" s="15" t="inlineStr">
        <is>
          <t>Claude (ทดสอบอัตโนมัติ)</t>
        </is>
      </c>
      <c r="N51" s="21" t="n">
        <v>46320</v>
      </c>
      <c r="O51" s="15" t="inlineStr"/>
    </row>
    <row r="52" ht="80" customHeight="1">
      <c r="A52" s="14" t="inlineStr">
        <is>
          <t>TC-FR07-06</t>
        </is>
      </c>
      <c r="B52" s="14" t="inlineStr">
        <is>
          <t>FR-07</t>
        </is>
      </c>
      <c r="C52" s="15" t="inlineStr">
        <is>
          <t>ขอรับคืน</t>
        </is>
      </c>
      <c r="D52" s="15" t="inlineStr">
        <is>
          <t>ส่งมอบโดยยังไม่อนุมัติคำขอ</t>
        </is>
      </c>
      <c r="E52" s="15" t="inlineStr">
        <is>
          <t>คำขอยังรอยืนยัน</t>
        </is>
      </c>
      <c r="F52" s="15" t="inlineStr">
        <is>
          <t>1. เรียก API ส่งมอบโดยตรง</t>
        </is>
      </c>
      <c r="G52" s="15" t="inlineStr">
        <is>
          <t>-</t>
        </is>
      </c>
      <c r="H52" s="15" t="inlineStr">
        <is>
          <t>ระบบปฏิเสธ ห้ามข้ามขั้นตอนตรวจตัวตน</t>
        </is>
      </c>
      <c r="I52" s="15" t="inlineStr">
        <is>
          <t>ส่งมอบก่อนอนุมัติ: HTTP 409 “Claim has already been processed” — ถูกปฏิเสธ (ข้อความแจ้งเตือนไม่ตรงสาเหตุนัก)</t>
        </is>
      </c>
      <c r="J52" s="14" t="inlineStr">
        <is>
          <t>Pass</t>
        </is>
      </c>
      <c r="K52" s="14" t="inlineStr">
        <is>
          <t>High</t>
        </is>
      </c>
      <c r="L52" s="14" t="inlineStr">
        <is>
          <t>Security</t>
        </is>
      </c>
      <c r="M52" s="15" t="inlineStr">
        <is>
          <t>Claude (ทดสอบอัตโนมัติ)</t>
        </is>
      </c>
      <c r="N52" s="21" t="n">
        <v>46320</v>
      </c>
      <c r="O52" s="15" t="inlineStr">
        <is>
          <t>ข้อความตอบกลับ “Claim has already been processed” ไม่ตรงสาเหตุ ควรเป็น “ต้องอนุมัติก่อนส่งมอบ”</t>
        </is>
      </c>
    </row>
    <row r="53" ht="40" customHeight="1">
      <c r="A53" s="14" t="inlineStr">
        <is>
          <t>TC-FR08-01</t>
        </is>
      </c>
      <c r="B53" s="14" t="inlineStr">
        <is>
          <t>FR-08</t>
        </is>
      </c>
      <c r="C53" s="15" t="inlineStr">
        <is>
          <t>ติดตามสถานะ</t>
        </is>
      </c>
      <c r="D53" s="15" t="inlineStr">
        <is>
          <t>ดูประวัติรายงานของตนเอง</t>
        </is>
      </c>
      <c r="E53" s="15" t="inlineStr">
        <is>
          <t>Login เป็นนิสิตที่มีรายงาน</t>
        </is>
      </c>
      <c r="F53" s="15" t="inlineStr">
        <is>
          <t>1. เปิดหน้าประวัติ</t>
        </is>
      </c>
      <c r="G53" s="15" t="inlineStr">
        <is>
          <t>-</t>
        </is>
      </c>
      <c r="H53" s="15" t="inlineStr">
        <is>
          <t>แสดงเฉพาะรายงานของตนเอง พร้อมสถานะปัจจุบัน</t>
        </is>
      </c>
      <c r="I53" s="15" t="inlineStr">
        <is>
          <t>HTTP 200 — แสดงเฉพาะรายงานของตนเอง</t>
        </is>
      </c>
      <c r="J53" s="14" t="inlineStr">
        <is>
          <t>Pass</t>
        </is>
      </c>
      <c r="K53" s="14" t="inlineStr">
        <is>
          <t>Medium</t>
        </is>
      </c>
      <c r="L53" s="14" t="inlineStr">
        <is>
          <t>Positive</t>
        </is>
      </c>
      <c r="M53" s="15" t="inlineStr">
        <is>
          <t>Claude (ทดสอบอัตโนมัติ)</t>
        </is>
      </c>
      <c r="N53" s="21" t="n">
        <v>46320</v>
      </c>
      <c r="O53" s="15" t="inlineStr"/>
    </row>
    <row r="54" ht="100" customHeight="1">
      <c r="A54" s="14" t="inlineStr">
        <is>
          <t>TC-FR08-02</t>
        </is>
      </c>
      <c r="B54" s="14" t="inlineStr">
        <is>
          <t>FR-08</t>
        </is>
      </c>
      <c r="C54" s="15" t="inlineStr">
        <is>
          <t>ติดตามสถานะ</t>
        </is>
      </c>
      <c r="D54" s="15" t="inlineStr">
        <is>
          <t>สถานะเปลี่ยนตามขั้นตอน</t>
        </is>
      </c>
      <c r="E54" s="15" t="inlineStr">
        <is>
          <t>มีรายงานที่ผ่านการจับคู่และส่งมอบ</t>
        </is>
      </c>
      <c r="F54" s="15" t="inlineStr">
        <is>
          <t>1. ตรวจสถานะหลังแต่ละขั้น: แจ้ง → พบคู่ → รอยืนยัน → รับคืน</t>
        </is>
      </c>
      <c r="G54" s="15" t="inlineStr">
        <is>
          <t>-</t>
        </is>
      </c>
      <c r="H54" s="15" t="inlineStr">
        <is>
          <t>สถานะในหน้าประวัติตรงกับขั้นตอนจริงทุกขั้น</t>
        </is>
      </c>
      <c r="I54" s="15" t="inlineStr">
        <is>
          <t>สถานะสุดท้ายของรายการของหาย: returned; ลำดับใน audit: pending → matched → matched → pending → deposited → matched → matched → verified → verified → returned → returned</t>
        </is>
      </c>
      <c r="J54" s="14" t="inlineStr">
        <is>
          <t>Pass</t>
        </is>
      </c>
      <c r="K54" s="14" t="inlineStr">
        <is>
          <t>Medium</t>
        </is>
      </c>
      <c r="L54" s="14" t="inlineStr">
        <is>
          <t>Positive</t>
        </is>
      </c>
      <c r="M54" s="15" t="inlineStr">
        <is>
          <t>Claude (ทดสอบอัตโนมัติ)</t>
        </is>
      </c>
      <c r="N54" s="21" t="n">
        <v>46320</v>
      </c>
      <c r="O54" s="15" t="inlineStr"/>
    </row>
    <row r="55" ht="40" customHeight="1">
      <c r="A55" s="14" t="inlineStr">
        <is>
          <t>TC-FR08-03</t>
        </is>
      </c>
      <c r="B55" s="14" t="inlineStr">
        <is>
          <t>FR-08</t>
        </is>
      </c>
      <c r="C55" s="15" t="inlineStr">
        <is>
          <t>ติดตามสถานะ</t>
        </is>
      </c>
      <c r="D55" s="15" t="inlineStr">
        <is>
          <t>เปิดรายละเอียดรายงานของผู้อื่นผ่าน URL</t>
        </is>
      </c>
      <c r="E55" s="15" t="inlineStr">
        <is>
          <t>Login เป็นนิสิต</t>
        </is>
      </c>
      <c r="F55" s="15" t="inlineStr">
        <is>
          <t>1. เปลี่ยน id ใน URL เป็นรายการของผู้อื่น</t>
        </is>
      </c>
      <c r="G55" s="15" t="inlineStr">
        <is>
          <t>-</t>
        </is>
      </c>
      <c r="H55" s="15" t="inlineStr">
        <is>
          <t>ไม่เห็นข้อมูลส่วนตัว/ปกปิดของผู้อื่น</t>
        </is>
      </c>
      <c r="I55" s="15" t="inlineStr">
        <is>
          <t>HTTP 200 — ไม่เห็นข้อมูลส่วนตัว/ลักษณะเฉพาะของผู้อื่น</t>
        </is>
      </c>
      <c r="J55" s="14" t="inlineStr">
        <is>
          <t>Pass</t>
        </is>
      </c>
      <c r="K55" s="14" t="inlineStr">
        <is>
          <t>High</t>
        </is>
      </c>
      <c r="L55" s="14" t="inlineStr">
        <is>
          <t>Security</t>
        </is>
      </c>
      <c r="M55" s="15" t="inlineStr">
        <is>
          <t>Claude (ทดสอบอัตโนมัติ)</t>
        </is>
      </c>
      <c r="N55" s="21" t="n">
        <v>46320</v>
      </c>
      <c r="O55" s="15" t="inlineStr"/>
    </row>
    <row r="56" ht="60" customHeight="1">
      <c r="A56" s="14" t="inlineStr">
        <is>
          <t>TC-FR09-01</t>
        </is>
      </c>
      <c r="B56" s="14" t="inlineStr">
        <is>
          <t>FR-09</t>
        </is>
      </c>
      <c r="C56" s="15" t="inlineStr">
        <is>
          <t>แผนที่จุดฝาก</t>
        </is>
      </c>
      <c r="D56" s="15" t="inlineStr">
        <is>
          <t>แสดงจุดฝากบนแผนที่พร้อมเวลาทำการ</t>
        </is>
      </c>
      <c r="E56" s="15" t="inlineStr">
        <is>
          <t>มีจุดรับฝากในระบบ</t>
        </is>
      </c>
      <c r="F56" s="15" t="inlineStr">
        <is>
          <t>1. เปิดหน้าแผนที่
2. กดหมุดจุดฝาก</t>
        </is>
      </c>
      <c r="G56" s="15" t="inlineStr">
        <is>
          <t>-</t>
        </is>
      </c>
      <c r="H56" s="15" t="inlineStr">
        <is>
          <t>แสดงชื่อจุดฝาก ตำแหน่ง และเวลาทำการ</t>
        </is>
      </c>
      <c r="I56" s="15" t="inlineStr">
        <is>
          <t>HTTP 200 — 2 จุด เช่น ตึกกิจการนิสิต (13.847, 100.569) เวลา 08:30–16:30</t>
        </is>
      </c>
      <c r="J56" s="14" t="inlineStr">
        <is>
          <t>Pass</t>
        </is>
      </c>
      <c r="K56" s="14" t="inlineStr">
        <is>
          <t>Medium</t>
        </is>
      </c>
      <c r="L56" s="14" t="inlineStr">
        <is>
          <t>Positive</t>
        </is>
      </c>
      <c r="M56" s="15" t="inlineStr">
        <is>
          <t>Claude (ทดสอบอัตโนมัติ)</t>
        </is>
      </c>
      <c r="N56" s="21" t="n">
        <v>46320</v>
      </c>
      <c r="O56" s="15" t="inlineStr"/>
    </row>
    <row r="57" ht="40" customHeight="1">
      <c r="A57" s="14" t="inlineStr">
        <is>
          <t>TC-FR09-02</t>
        </is>
      </c>
      <c r="B57" s="14" t="inlineStr">
        <is>
          <t>FR-09</t>
        </is>
      </c>
      <c r="C57" s="15" t="inlineStr">
        <is>
          <t>แผนที่จุดฝาก</t>
        </is>
      </c>
      <c r="D57" s="15" t="inlineStr">
        <is>
          <t>หน้ารายละเอียดของพบแสดงจุดฝากปัจจุบัน</t>
        </is>
      </c>
      <c r="E57" s="15" t="inlineStr">
        <is>
          <t>มีของพบที่ระบุจุดฝาก</t>
        </is>
      </c>
      <c r="F57" s="15" t="inlineStr">
        <is>
          <t>1. เปิดรายละเอียดของพบ</t>
        </is>
      </c>
      <c r="G57" s="15" t="inlineStr">
        <is>
          <t>-</t>
        </is>
      </c>
      <c r="H57" s="15" t="inlineStr">
        <is>
          <t>แสดงจุดฝากปัจจุบันตรงกับข้อมูลล่าสุด</t>
        </is>
      </c>
      <c r="I57" s="15" t="inlineStr">
        <is>
          <t>HTTP 200 — แสดงจุดฝากล่าสุด สำนักหอสมุด</t>
        </is>
      </c>
      <c r="J57" s="14" t="inlineStr">
        <is>
          <t>Pass</t>
        </is>
      </c>
      <c r="K57" s="14" t="inlineStr">
        <is>
          <t>Medium</t>
        </is>
      </c>
      <c r="L57" s="14" t="inlineStr">
        <is>
          <t>Positive</t>
        </is>
      </c>
      <c r="M57" s="15" t="inlineStr">
        <is>
          <t>Claude (ทดสอบอัตโนมัติ)</t>
        </is>
      </c>
      <c r="N57" s="21" t="n">
        <v>46320</v>
      </c>
      <c r="O57" s="15" t="inlineStr"/>
    </row>
    <row r="58" ht="40" customHeight="1">
      <c r="A58" s="14" t="inlineStr">
        <is>
          <t>TC-FR10-01</t>
        </is>
      </c>
      <c r="B58" s="14" t="inlineStr">
        <is>
          <t>FR-10</t>
        </is>
      </c>
      <c r="C58" s="15" t="inlineStr">
        <is>
          <t>จัดการคลังของ</t>
        </is>
      </c>
      <c r="D58" s="15" t="inlineStr">
        <is>
          <t>Staff รับฝากสิ่งของ</t>
        </is>
      </c>
      <c r="E58" s="15" t="inlineStr">
        <is>
          <t>Login เป็น Staff มีของพบสถานะรอดำเนินการ</t>
        </is>
      </c>
      <c r="F58" s="15" t="inlineStr">
        <is>
          <t>1. กด รับฝาก
2. เลือกจุดฝาก</t>
        </is>
      </c>
      <c r="G58" s="15" t="inlineStr">
        <is>
          <t>-</t>
        </is>
      </c>
      <c r="H58" s="15" t="inlineStr">
        <is>
          <t>สถานะเป็น ฝากแล้ว (deposited)</t>
        </is>
      </c>
      <c r="I58" s="15" t="inlineStr">
        <is>
          <t>HTTP 200 สถานะ deposited</t>
        </is>
      </c>
      <c r="J58" s="14" t="inlineStr">
        <is>
          <t>Pass</t>
        </is>
      </c>
      <c r="K58" s="14" t="inlineStr">
        <is>
          <t>Medium</t>
        </is>
      </c>
      <c r="L58" s="14" t="inlineStr">
        <is>
          <t>Positive</t>
        </is>
      </c>
      <c r="M58" s="15" t="inlineStr">
        <is>
          <t>Claude (ทดสอบอัตโนมัติ)</t>
        </is>
      </c>
      <c r="N58" s="21" t="n">
        <v>46320</v>
      </c>
      <c r="O58" s="15" t="inlineStr"/>
    </row>
    <row r="59" ht="80" customHeight="1">
      <c r="A59" s="14" t="inlineStr">
        <is>
          <t>TC-FR10-02</t>
        </is>
      </c>
      <c r="B59" s="14" t="inlineStr">
        <is>
          <t>FR-10</t>
        </is>
      </c>
      <c r="C59" s="15" t="inlineStr">
        <is>
          <t>จัดการคลังของ</t>
        </is>
      </c>
      <c r="D59" s="15" t="inlineStr">
        <is>
          <t>บริจาค/จำหน่ายของที่ครบกำหนดพร้อมเหตุผล</t>
        </is>
      </c>
      <c r="E59" s="15" t="inlineStr">
        <is>
          <t>มีของเกินระยะเก็บ</t>
        </is>
      </c>
      <c r="F59" s="15" t="inlineStr">
        <is>
          <t>1. เลือกรายการ
2. กด บริจาค/จำหน่าย
3. กรอกเหตุผล</t>
        </is>
      </c>
      <c r="G59" s="15" t="inlineStr">
        <is>
          <t>เหตุผล: ครบ 90 วันไม่มีผู้รับ</t>
        </is>
      </c>
      <c r="H59" s="15" t="inlineStr">
        <is>
          <t>สถานะเปลี่ยน บันทึกเหตุผลและผู้ดำเนินการ</t>
        </is>
      </c>
      <c r="I59" s="15" t="inlineStr">
        <is>
          <t>หมดอายุ 200; บริจาค HTTP 200 สถานะ donated; audit โดย st1</t>
        </is>
      </c>
      <c r="J59" s="14" t="inlineStr">
        <is>
          <t>Pass</t>
        </is>
      </c>
      <c r="K59" s="14" t="inlineStr">
        <is>
          <t>Medium</t>
        </is>
      </c>
      <c r="L59" s="14" t="inlineStr">
        <is>
          <t>Positive</t>
        </is>
      </c>
      <c r="M59" s="15" t="inlineStr">
        <is>
          <t>Claude (ทดสอบอัตโนมัติ)</t>
        </is>
      </c>
      <c r="N59" s="21" t="n">
        <v>46320</v>
      </c>
      <c r="O59" s="15" t="inlineStr"/>
    </row>
    <row r="60" ht="80" customHeight="1">
      <c r="A60" s="14" t="inlineStr">
        <is>
          <t>TC-FR10-03</t>
        </is>
      </c>
      <c r="B60" s="14" t="inlineStr">
        <is>
          <t>FR-10</t>
        </is>
      </c>
      <c r="C60" s="15" t="inlineStr">
        <is>
          <t>จัดการคลังของ</t>
        </is>
      </c>
      <c r="D60" s="15" t="inlineStr">
        <is>
          <t>บริจาคของที่ยังไม่ครบกำหนด หรือไม่ใส่เหตุผล</t>
        </is>
      </c>
      <c r="E60" s="15" t="inlineStr">
        <is>
          <t>มีของยังไม่ครบกำหนด</t>
        </is>
      </c>
      <c r="F60" s="15" t="inlineStr">
        <is>
          <t>1. พยายามบริจาค
2. เว้นเหตุผล</t>
        </is>
      </c>
      <c r="G60" s="15" t="inlineStr">
        <is>
          <t>-</t>
        </is>
      </c>
      <c r="H60" s="15" t="inlineStr">
        <is>
          <t>ระบบปฏิเสธ</t>
        </is>
      </c>
      <c r="I60" s="15" t="inlineStr">
        <is>
          <t>ยังไม่ครบกำหนด: HTTP 409 “Retention period has not ended”; ไม่ใส่เหตุผล: HTTP 400 “Record the handover/disposal reason”</t>
        </is>
      </c>
      <c r="J60" s="14" t="inlineStr">
        <is>
          <t>Pass</t>
        </is>
      </c>
      <c r="K60" s="14" t="inlineStr">
        <is>
          <t>Medium</t>
        </is>
      </c>
      <c r="L60" s="14" t="inlineStr">
        <is>
          <t>Negative</t>
        </is>
      </c>
      <c r="M60" s="15" t="inlineStr">
        <is>
          <t>Claude (ทดสอบอัตโนมัติ)</t>
        </is>
      </c>
      <c r="N60" s="21" t="n">
        <v>46320</v>
      </c>
      <c r="O60" s="15" t="inlineStr"/>
    </row>
    <row r="61" ht="60" customHeight="1">
      <c r="A61" s="14" t="inlineStr">
        <is>
          <t>TC-FR11-01</t>
        </is>
      </c>
      <c r="B61" s="14" t="inlineStr">
        <is>
          <t>FR-11</t>
        </is>
      </c>
      <c r="C61" s="15" t="inlineStr">
        <is>
          <t>ระยะเก็บรักษา</t>
        </is>
      </c>
      <c r="D61" s="15" t="inlineStr">
        <is>
          <t>แจ้งเตือนก่อนครบกำหนดเก็บ</t>
        </is>
      </c>
      <c r="E61" s="15" t="inlineStr">
        <is>
          <t>ของใกล้ครบระยะเก็บ (ค่าเริ่มต้น 90 วัน)</t>
        </is>
      </c>
      <c r="F61" s="15" t="inlineStr">
        <is>
          <t>1. ปรับวันที่รายการในฐานทดสอบให้ใกล้ครบกำหนด
2. รอ scheduler ทำงาน</t>
        </is>
      </c>
      <c r="G61" s="15" t="inlineStr">
        <is>
          <t>-</t>
        </is>
      </c>
      <c r="H61" s="15" t="inlineStr">
        <is>
          <t>ผู้ใช้และเจ้าหน้าที่ได้รับแจ้งเตือนล่วงหน้า</t>
        </is>
      </c>
      <c r="I61" s="15" t="inlineStr">
        <is>
          <t>ตั้งให้เหลือ 2 วันแล้วสั่ง retentionSweep: แจ้งผู้ใช้ +1, แจ้งเจ้าหน้าที่ +1 ({"checked":1})</t>
        </is>
      </c>
      <c r="J61" s="14" t="inlineStr">
        <is>
          <t>Pass</t>
        </is>
      </c>
      <c r="K61" s="14" t="inlineStr">
        <is>
          <t>Medium</t>
        </is>
      </c>
      <c r="L61" s="14" t="inlineStr">
        <is>
          <t>Positive</t>
        </is>
      </c>
      <c r="M61" s="15" t="inlineStr">
        <is>
          <t>Claude (ทดสอบอัตโนมัติ)</t>
        </is>
      </c>
      <c r="N61" s="21" t="n">
        <v>46320</v>
      </c>
      <c r="O61" s="15" t="inlineStr">
        <is>
          <t>เรียก retentionSweep() โดยตรงแทนการรอ scheduler</t>
        </is>
      </c>
    </row>
    <row r="62" ht="80" customHeight="1">
      <c r="A62" s="14" t="inlineStr">
        <is>
          <t>TC-FR11-02</t>
        </is>
      </c>
      <c r="B62" s="14" t="inlineStr">
        <is>
          <t>FR-11</t>
        </is>
      </c>
      <c r="C62" s="15" t="inlineStr">
        <is>
          <t>ระยะเก็บรักษา</t>
        </is>
      </c>
      <c r="D62" s="15" t="inlineStr">
        <is>
          <t>Super Admin ปรับระยะเก็บรักษา</t>
        </is>
      </c>
      <c r="E62" s="15" t="inlineStr">
        <is>
          <t>Login เป็น Super Admin</t>
        </is>
      </c>
      <c r="F62" s="15" t="inlineStr">
        <is>
          <t>1. เปิดหน้าตั้งค่า
2. เปลี่ยนระยะเก็บเป็น 60 วัน
3. บันทึก</t>
        </is>
      </c>
      <c r="G62" s="15" t="inlineStr">
        <is>
          <t>60 วัน</t>
        </is>
      </c>
      <c r="H62" s="15" t="inlineStr">
        <is>
          <t>ค่าใหม่ถูกใช้คำนวณวันครบกำหนด</t>
        </is>
      </c>
      <c r="I62" s="15" t="inlineStr">
        <is>
          <t>HTTP 200 retention_days=60; รายการใหม่ครบกำหนดใน 60 วัน</t>
        </is>
      </c>
      <c r="J62" s="14" t="inlineStr">
        <is>
          <t>Pass</t>
        </is>
      </c>
      <c r="K62" s="14" t="inlineStr">
        <is>
          <t>Low</t>
        </is>
      </c>
      <c r="L62" s="14" t="inlineStr">
        <is>
          <t>Positive</t>
        </is>
      </c>
      <c r="M62" s="15" t="inlineStr">
        <is>
          <t>Claude (ทดสอบอัตโนมัติ)</t>
        </is>
      </c>
      <c r="N62" s="21" t="n">
        <v>46320</v>
      </c>
      <c r="O62" s="15" t="inlineStr"/>
    </row>
    <row r="63" ht="40" customHeight="1">
      <c r="A63" s="14" t="inlineStr">
        <is>
          <t>TC-FR12-01</t>
        </is>
      </c>
      <c r="B63" s="14" t="inlineStr">
        <is>
          <t>FR-12</t>
        </is>
      </c>
      <c r="C63" s="15" t="inlineStr">
        <is>
          <t>ค้นหาและกรอง</t>
        </is>
      </c>
      <c r="D63" s="15" t="inlineStr">
        <is>
          <t>ค้นหาด้วยคำสำคัญ</t>
        </is>
      </c>
      <c r="E63" s="15" t="inlineStr">
        <is>
          <t>มีรายการหลายรายการ</t>
        </is>
      </c>
      <c r="F63" s="15" t="inlineStr">
        <is>
          <t>1. พิมพ์คำค้นในช่องค้นหา</t>
        </is>
      </c>
      <c r="G63" s="15" t="inlineStr">
        <is>
          <t>คำค้น: กระเป๋า</t>
        </is>
      </c>
      <c r="H63" s="15" t="inlineStr">
        <is>
          <t>แสดงเฉพาะรายการที่เกี่ยวข้อง</t>
        </is>
      </c>
      <c r="I63" s="15" t="inlineStr">
        <is>
          <t>HTTP 200 — ผลมีกระเป๋าสตางค์ ไม่มีร่มพับ</t>
        </is>
      </c>
      <c r="J63" s="14" t="inlineStr">
        <is>
          <t>Pass</t>
        </is>
      </c>
      <c r="K63" s="14" t="inlineStr">
        <is>
          <t>Medium</t>
        </is>
      </c>
      <c r="L63" s="14" t="inlineStr">
        <is>
          <t>Positive</t>
        </is>
      </c>
      <c r="M63" s="15" t="inlineStr">
        <is>
          <t>Claude (ทดสอบอัตโนมัติ)</t>
        </is>
      </c>
      <c r="N63" s="21" t="n">
        <v>46320</v>
      </c>
      <c r="O63" s="15" t="inlineStr"/>
    </row>
    <row r="64" ht="40" customHeight="1">
      <c r="A64" s="14" t="inlineStr">
        <is>
          <t>TC-FR12-02</t>
        </is>
      </c>
      <c r="B64" s="14" t="inlineStr">
        <is>
          <t>FR-12</t>
        </is>
      </c>
      <c r="C64" s="15" t="inlineStr">
        <is>
          <t>ค้นหาและกรอง</t>
        </is>
      </c>
      <c r="D64" s="15" t="inlineStr">
        <is>
          <t>กรองตามประเภท วันที่ สถานที่ และสถานะ</t>
        </is>
      </c>
      <c r="E64" s="15" t="inlineStr">
        <is>
          <t>มีรายการหลายรายการ</t>
        </is>
      </c>
      <c r="F64" s="15" t="inlineStr">
        <is>
          <t>1. เลือกตัวกรองแต่ละแบบ และรวมกัน</t>
        </is>
      </c>
      <c r="G64" s="15" t="inlineStr">
        <is>
          <t>ประเภท: อิเล็กทรอนิกส์, ช่วง 1–7 ต.ค.</t>
        </is>
      </c>
      <c r="H64" s="15" t="inlineStr">
        <is>
          <t>ผลลัพธ์ตรงทุกเงื่อนไข</t>
        </is>
      </c>
      <c r="I64" s="15" t="inlineStr">
        <is>
          <t>ประเภท+วันที่+สถานที่: โทรศัพท์มือถือ</t>
        </is>
      </c>
      <c r="J64" s="14" t="inlineStr">
        <is>
          <t>Pass</t>
        </is>
      </c>
      <c r="K64" s="14" t="inlineStr">
        <is>
          <t>Medium</t>
        </is>
      </c>
      <c r="L64" s="14" t="inlineStr">
        <is>
          <t>Positive</t>
        </is>
      </c>
      <c r="M64" s="15" t="inlineStr">
        <is>
          <t>Claude (ทดสอบอัตโนมัติ)</t>
        </is>
      </c>
      <c r="N64" s="21" t="n">
        <v>46320</v>
      </c>
      <c r="O64" s="15" t="inlineStr"/>
    </row>
    <row r="65" ht="40" customHeight="1">
      <c r="A65" s="14" t="inlineStr">
        <is>
          <t>TC-FR12-03</t>
        </is>
      </c>
      <c r="B65" s="14" t="inlineStr">
        <is>
          <t>FR-12</t>
        </is>
      </c>
      <c r="C65" s="15" t="inlineStr">
        <is>
          <t>ค้นหาและกรอง</t>
        </is>
      </c>
      <c r="D65" s="15" t="inlineStr">
        <is>
          <t>ค้นหาไม่พบผลลัพธ์</t>
        </is>
      </c>
      <c r="E65" s="15" t="inlineStr">
        <is>
          <t>-</t>
        </is>
      </c>
      <c r="F65" s="15" t="inlineStr">
        <is>
          <t>1. พิมพ์คำที่ไม่มีในระบบ</t>
        </is>
      </c>
      <c r="G65" s="15" t="inlineStr">
        <is>
          <t>คำค้น: zzzzzz</t>
        </is>
      </c>
      <c r="H65" s="15" t="inlineStr">
        <is>
          <t>แสดงข้อความ ไม่พบรายการ</t>
        </is>
      </c>
      <c r="I65" s="15" t="inlineStr">
        <is>
          <t>HTTP 200 — ได้ผลว่าง (หน้าเว็บแสดงข้อความไม่พบรายการ)</t>
        </is>
      </c>
      <c r="J65" s="14" t="inlineStr">
        <is>
          <t>Pass</t>
        </is>
      </c>
      <c r="K65" s="14" t="inlineStr">
        <is>
          <t>Low</t>
        </is>
      </c>
      <c r="L65" s="14" t="inlineStr">
        <is>
          <t>Negative</t>
        </is>
      </c>
      <c r="M65" s="15" t="inlineStr">
        <is>
          <t>Claude (ทดสอบอัตโนมัติ)</t>
        </is>
      </c>
      <c r="N65" s="21" t="n">
        <v>46320</v>
      </c>
      <c r="O65" s="15" t="inlineStr"/>
    </row>
    <row r="66" ht="40" customHeight="1">
      <c r="A66" s="14" t="inlineStr">
        <is>
          <t>TC-FR12-04</t>
        </is>
      </c>
      <c r="B66" s="14" t="inlineStr">
        <is>
          <t>FR-12</t>
        </is>
      </c>
      <c r="C66" s="15" t="inlineStr">
        <is>
          <t>ค้นหาและกรอง</t>
        </is>
      </c>
      <c r="D66" s="15" t="inlineStr">
        <is>
          <t>ช่วงวันที่สิ้นสุดก่อนวันเริ่มต้น</t>
        </is>
      </c>
      <c r="E66" s="15" t="inlineStr">
        <is>
          <t>-</t>
        </is>
      </c>
      <c r="F66" s="15" t="inlineStr">
        <is>
          <t>1. เลือกวันเริ่ม 10 ต.ค. วันสิ้นสุด 1 ต.ค.</t>
        </is>
      </c>
      <c r="G66" s="15" t="inlineStr">
        <is>
          <t>-</t>
        </is>
      </c>
      <c r="H66" s="15" t="inlineStr">
        <is>
          <t>แจ้งช่วงวันที่ไม่ถูกต้อง</t>
        </is>
      </c>
      <c r="I66" s="15" t="inlineStr">
        <is>
          <t>HTTP 400 “Start date must not be after end date”</t>
        </is>
      </c>
      <c r="J66" s="14" t="inlineStr">
        <is>
          <t>Pass</t>
        </is>
      </c>
      <c r="K66" s="14" t="inlineStr">
        <is>
          <t>Low</t>
        </is>
      </c>
      <c r="L66" s="14" t="inlineStr">
        <is>
          <t>Negative</t>
        </is>
      </c>
      <c r="M66" s="15" t="inlineStr">
        <is>
          <t>Claude (ทดสอบอัตโนมัติ)</t>
        </is>
      </c>
      <c r="N66" s="21" t="n">
        <v>46320</v>
      </c>
      <c r="O66" s="15" t="inlineStr"/>
    </row>
    <row r="67" ht="40" customHeight="1">
      <c r="A67" s="14" t="inlineStr">
        <is>
          <t>TC-FR12-05</t>
        </is>
      </c>
      <c r="B67" s="14" t="inlineStr">
        <is>
          <t>FR-12</t>
        </is>
      </c>
      <c r="C67" s="15" t="inlineStr">
        <is>
          <t>ค้นหาและกรอง</t>
        </is>
      </c>
      <c r="D67" s="15" t="inlineStr">
        <is>
          <t>คำค้นที่มีอักขระพิเศษ / SQL injection</t>
        </is>
      </c>
      <c r="E67" s="15" t="inlineStr">
        <is>
          <t>-</t>
        </is>
      </c>
      <c r="F67" s="15" t="inlineStr">
        <is>
          <t>1. พิมพ์คำค้นอันตราย</t>
        </is>
      </c>
      <c r="G67" s="15" t="inlineStr">
        <is>
          <t>' OR 1=1 --</t>
        </is>
      </c>
      <c r="H67" s="15" t="inlineStr">
        <is>
          <t>ระบบไม่ error ไม่คืนข้อมูลเกิน</t>
        </is>
      </c>
      <c r="I67" s="15" t="inlineStr">
        <is>
          <t>HTTP 200 — ผลลัพธ์ 0 รายการ ไม่ error</t>
        </is>
      </c>
      <c r="J67" s="14" t="inlineStr">
        <is>
          <t>Pass</t>
        </is>
      </c>
      <c r="K67" s="14" t="inlineStr">
        <is>
          <t>High</t>
        </is>
      </c>
      <c r="L67" s="14" t="inlineStr">
        <is>
          <t>Security</t>
        </is>
      </c>
      <c r="M67" s="15" t="inlineStr">
        <is>
          <t>Claude (ทดสอบอัตโนมัติ)</t>
        </is>
      </c>
      <c r="N67" s="21" t="n">
        <v>46320</v>
      </c>
      <c r="O67" s="15" t="inlineStr"/>
    </row>
    <row r="68" ht="60" customHeight="1">
      <c r="A68" s="14" t="inlineStr">
        <is>
          <t>TC-FR13-01</t>
        </is>
      </c>
      <c r="B68" s="14" t="inlineStr">
        <is>
          <t>FR-13</t>
        </is>
      </c>
      <c r="C68" s="15" t="inlineStr">
        <is>
          <t>รายงานและสถิติ</t>
        </is>
      </c>
      <c r="D68" s="15" t="inlineStr">
        <is>
          <t>ดูสถิติรายวัน/เดือน/ปี</t>
        </is>
      </c>
      <c r="E68" s="15" t="inlineStr">
        <is>
          <t>Login เป็น Admin</t>
        </is>
      </c>
      <c r="F68" s="15" t="inlineStr">
        <is>
          <t>1. เปิด Dashboard / สถิติ
2. สลับมุมมองวัน เดือน ปี</t>
        </is>
      </c>
      <c r="G68" s="15" t="inlineStr">
        <is>
          <t>-</t>
        </is>
      </c>
      <c r="H68" s="15" t="inlineStr">
        <is>
          <t>ตัวเลขตรงกับข้อมูลในฐาน</t>
        </is>
      </c>
      <c r="I68" s="15" t="inlineStr">
        <is>
          <t>HTTP 200; จำนวนของหายในฐาน 6 ปรากฏในสถิติ: true</t>
        </is>
      </c>
      <c r="J68" s="14" t="inlineStr">
        <is>
          <t>Pass</t>
        </is>
      </c>
      <c r="K68" s="14" t="inlineStr">
        <is>
          <t>Medium</t>
        </is>
      </c>
      <c r="L68" s="14" t="inlineStr">
        <is>
          <t>Positive</t>
        </is>
      </c>
      <c r="M68" s="15" t="inlineStr">
        <is>
          <t>Claude (ทดสอบอัตโนมัติ)</t>
        </is>
      </c>
      <c r="N68" s="21" t="n">
        <v>46320</v>
      </c>
      <c r="O68" s="15" t="inlineStr"/>
    </row>
    <row r="69" ht="40" customHeight="1">
      <c r="A69" s="14" t="inlineStr">
        <is>
          <t>TC-FR13-02</t>
        </is>
      </c>
      <c r="B69" s="14" t="inlineStr">
        <is>
          <t>FR-13</t>
        </is>
      </c>
      <c r="C69" s="15" t="inlineStr">
        <is>
          <t>รายงานและสถิติ</t>
        </is>
      </c>
      <c r="D69" s="15" t="inlineStr">
        <is>
          <t>Export รายงานเป็น PDF</t>
        </is>
      </c>
      <c r="E69" s="15" t="inlineStr">
        <is>
          <t>Login เป็น Admin</t>
        </is>
      </c>
      <c r="F69" s="15" t="inlineStr">
        <is>
          <t>1. เปิดหน้ารายงาน
2. กด Export PDF</t>
        </is>
      </c>
      <c r="G69" s="15" t="inlineStr">
        <is>
          <t>-</t>
        </is>
      </c>
      <c r="H69" s="15" t="inlineStr">
        <is>
          <t>ได้ไฟล์ PDF ภาษาไทยอ่านได้ ระบุขอบเขตวันที่</t>
        </is>
      </c>
      <c r="I69" s="15" t="inlineStr">
        <is>
          <t>HTTP 200 application/pdf; ขนาด 11760 ไบต์</t>
        </is>
      </c>
      <c r="J69" s="14" t="inlineStr">
        <is>
          <t>Pass</t>
        </is>
      </c>
      <c r="K69" s="14" t="inlineStr">
        <is>
          <t>Medium</t>
        </is>
      </c>
      <c r="L69" s="14" t="inlineStr">
        <is>
          <t>Positive</t>
        </is>
      </c>
      <c r="M69" s="15" t="inlineStr">
        <is>
          <t>Claude (ทดสอบอัตโนมัติ)</t>
        </is>
      </c>
      <c r="N69" s="21" t="n">
        <v>46320</v>
      </c>
      <c r="O69" s="15" t="inlineStr"/>
    </row>
    <row r="70" ht="24" customHeight="1">
      <c r="A70" s="14" t="inlineStr">
        <is>
          <t>TC-FR13-03</t>
        </is>
      </c>
      <c r="B70" s="14" t="inlineStr">
        <is>
          <t>FR-13</t>
        </is>
      </c>
      <c r="C70" s="15" t="inlineStr">
        <is>
          <t>รายงานและสถิติ</t>
        </is>
      </c>
      <c r="D70" s="15" t="inlineStr">
        <is>
          <t>Export รายงานเป็น Excel</t>
        </is>
      </c>
      <c r="E70" s="15" t="inlineStr">
        <is>
          <t>Login เป็น Admin</t>
        </is>
      </c>
      <c r="F70" s="15" t="inlineStr">
        <is>
          <t>1. กด Export Excel</t>
        </is>
      </c>
      <c r="G70" s="15" t="inlineStr">
        <is>
          <t>-</t>
        </is>
      </c>
      <c r="H70" s="15" t="inlineStr">
        <is>
          <t>ได้ไฟล์ .xlsx ข้อมูลตรงกับหน้าจอ</t>
        </is>
      </c>
      <c r="I70" s="15" t="inlineStr">
        <is>
          <t>HTTP 200 ไฟล์ .xlsx ขนาด 9391 ไบต์</t>
        </is>
      </c>
      <c r="J70" s="14" t="inlineStr">
        <is>
          <t>Pass</t>
        </is>
      </c>
      <c r="K70" s="14" t="inlineStr">
        <is>
          <t>Medium</t>
        </is>
      </c>
      <c r="L70" s="14" t="inlineStr">
        <is>
          <t>Positive</t>
        </is>
      </c>
      <c r="M70" s="15" t="inlineStr">
        <is>
          <t>Claude (ทดสอบอัตโนมัติ)</t>
        </is>
      </c>
      <c r="N70" s="21" t="n">
        <v>46320</v>
      </c>
      <c r="O70" s="15" t="inlineStr"/>
    </row>
    <row r="71" ht="60" customHeight="1">
      <c r="A71" s="14" t="inlineStr">
        <is>
          <t>TC-FR13-04</t>
        </is>
      </c>
      <c r="B71" s="14" t="inlineStr">
        <is>
          <t>FR-13</t>
        </is>
      </c>
      <c r="C71" s="15" t="inlineStr">
        <is>
          <t>รายงานและสถิติ</t>
        </is>
      </c>
      <c r="D71" s="15" t="inlineStr">
        <is>
          <t>นิสิตเข้าหน้า Admin</t>
        </is>
      </c>
      <c r="E71" s="15" t="inlineStr">
        <is>
          <t>Login เป็นนิสิต</t>
        </is>
      </c>
      <c r="F71" s="15" t="inlineStr">
        <is>
          <t>1. เปิด URL /admin โดยตรง</t>
        </is>
      </c>
      <c r="G71" s="15" t="inlineStr">
        <is>
          <t>-</t>
        </is>
      </c>
      <c r="H71" s="15" t="inlineStr">
        <is>
          <t>ถูกปฏิเสธ หรือ redirect</t>
        </is>
      </c>
      <c r="I71" s="15" t="inlineStr">
        <is>
          <t>นิสิตเรียก API ผู้ดูแล: HTTP 401 “Staff or administrator authentication required”</t>
        </is>
      </c>
      <c r="J71" s="14" t="inlineStr">
        <is>
          <t>Pass</t>
        </is>
      </c>
      <c r="K71" s="14" t="inlineStr">
        <is>
          <t>High</t>
        </is>
      </c>
      <c r="L71" s="14" t="inlineStr">
        <is>
          <t>Security</t>
        </is>
      </c>
      <c r="M71" s="15" t="inlineStr">
        <is>
          <t>Claude (ทดสอบอัตโนมัติ)</t>
        </is>
      </c>
      <c r="N71" s="21" t="n">
        <v>46320</v>
      </c>
      <c r="O71" s="15" t="inlineStr"/>
    </row>
    <row r="72" ht="80" customHeight="1">
      <c r="A72" s="14" t="inlineStr">
        <is>
          <t>TC-FR14-01</t>
        </is>
      </c>
      <c r="B72" s="14" t="inlineStr">
        <is>
          <t>FR-14</t>
        </is>
      </c>
      <c r="C72" s="15" t="inlineStr">
        <is>
          <t>จัดการผู้ใช้</t>
        </is>
      </c>
      <c r="D72" s="15" t="inlineStr">
        <is>
          <t>Super Admin เพิ่มผู้ใช้ใหม่</t>
        </is>
      </c>
      <c r="E72" s="15" t="inlineStr">
        <is>
          <t>Login เป็น Super Admin</t>
        </is>
      </c>
      <c r="F72" s="15" t="inlineStr">
        <is>
          <t>1. เปิดหน้าผู้ใช้
2. กด เพิ่ม กรอกข้อมูล
3. บันทึก</t>
        </is>
      </c>
      <c r="G72" s="15" t="inlineStr">
        <is>
          <t>อีเมล: newuser@ku.th, role: student</t>
        </is>
      </c>
      <c r="H72" s="15" t="inlineStr">
        <is>
          <t>ผู้ใช้ใหม่ปรากฏในรายการ ขอ OTP ได้</t>
        </is>
      </c>
      <c r="I72" s="15" t="inlineStr">
        <is>
          <t>เพิ่มผู้ใช้ HTTP 201; ขอ OTP ได้ 200</t>
        </is>
      </c>
      <c r="J72" s="14" t="inlineStr">
        <is>
          <t>Pass</t>
        </is>
      </c>
      <c r="K72" s="14" t="inlineStr">
        <is>
          <t>Medium</t>
        </is>
      </c>
      <c r="L72" s="14" t="inlineStr">
        <is>
          <t>Positive</t>
        </is>
      </c>
      <c r="M72" s="15" t="inlineStr">
        <is>
          <t>Claude (ทดสอบอัตโนมัติ)</t>
        </is>
      </c>
      <c r="N72" s="21" t="n">
        <v>46320</v>
      </c>
      <c r="O72" s="15" t="inlineStr"/>
    </row>
    <row r="73" ht="60" customHeight="1">
      <c r="A73" s="14" t="inlineStr">
        <is>
          <t>TC-FR14-02</t>
        </is>
      </c>
      <c r="B73" s="14" t="inlineStr">
        <is>
          <t>FR-14</t>
        </is>
      </c>
      <c r="C73" s="15" t="inlineStr">
        <is>
          <t>จัดการผู้ใช้</t>
        </is>
      </c>
      <c r="D73" s="15" t="inlineStr">
        <is>
          <t>เพิ่มผู้ใช้ด้วยอีเมลซ้ำ</t>
        </is>
      </c>
      <c r="E73" s="15" t="inlineStr">
        <is>
          <t>มีอีเมลนี้อยู่แล้ว</t>
        </is>
      </c>
      <c r="F73" s="15" t="inlineStr">
        <is>
          <t>1. เพิ่มผู้ใช้ด้วยอีเมลเดิม</t>
        </is>
      </c>
      <c r="G73" s="15" t="inlineStr">
        <is>
          <t>อีเมลที่มีอยู่แล้ว</t>
        </is>
      </c>
      <c r="H73" s="15" t="inlineStr">
        <is>
          <t>แจ้งอีเมลซ้ำ ไม่บันทึก</t>
        </is>
      </c>
      <c r="I73" s="15" t="inlineStr">
        <is>
          <t>HTTP 409 “duplicate key value violates unique constraint "users_email_key"”</t>
        </is>
      </c>
      <c r="J73" s="14" t="inlineStr">
        <is>
          <t>Pass</t>
        </is>
      </c>
      <c r="K73" s="14" t="inlineStr">
        <is>
          <t>Medium</t>
        </is>
      </c>
      <c r="L73" s="14" t="inlineStr">
        <is>
          <t>Negative</t>
        </is>
      </c>
      <c r="M73" s="15" t="inlineStr">
        <is>
          <t>Claude (ทดสอบอัตโนมัติ)</t>
        </is>
      </c>
      <c r="N73" s="21" t="n">
        <v>46320</v>
      </c>
      <c r="O73" s="15" t="inlineStr"/>
    </row>
    <row r="74" ht="60" customHeight="1">
      <c r="A74" s="14" t="inlineStr">
        <is>
          <t>TC-FR14-03</t>
        </is>
      </c>
      <c r="B74" s="14" t="inlineStr">
        <is>
          <t>FR-14</t>
        </is>
      </c>
      <c r="C74" s="15" t="inlineStr">
        <is>
          <t>จัดการผู้ใช้</t>
        </is>
      </c>
      <c r="D74" s="15" t="inlineStr">
        <is>
          <t>เปลี่ยน role ผู้ใช้</t>
        </is>
      </c>
      <c r="E74" s="15" t="inlineStr">
        <is>
          <t>Login เป็น Super Admin</t>
        </is>
      </c>
      <c r="F74" s="15" t="inlineStr">
        <is>
          <t>1. แก้ role ผู้ใช้เป็น staff
2. ผู้ใช้นั้น Login ใหม่</t>
        </is>
      </c>
      <c r="G74" s="15" t="inlineStr">
        <is>
          <t>-</t>
        </is>
      </c>
      <c r="H74" s="15" t="inlineStr">
        <is>
          <t>ผู้ใช้เข้าหน้าเจ้าหน้าที่ได้ตาม role ใหม่</t>
        </is>
      </c>
      <c r="I74" s="15" t="inlineStr">
        <is>
          <t>เปลี่ยน role HTTP 200; เข้าหน้าเจ้าหน้าที่ได้ 200</t>
        </is>
      </c>
      <c r="J74" s="14" t="inlineStr">
        <is>
          <t>Pass</t>
        </is>
      </c>
      <c r="K74" s="14" t="inlineStr">
        <is>
          <t>Medium</t>
        </is>
      </c>
      <c r="L74" s="14" t="inlineStr">
        <is>
          <t>Positive</t>
        </is>
      </c>
      <c r="M74" s="15" t="inlineStr">
        <is>
          <t>Claude (ทดสอบอัตโนมัติ)</t>
        </is>
      </c>
      <c r="N74" s="21" t="n">
        <v>46320</v>
      </c>
      <c r="O74" s="15" t="inlineStr"/>
    </row>
    <row r="75" ht="40" customHeight="1">
      <c r="A75" s="14" t="inlineStr">
        <is>
          <t>TC-FR14-04</t>
        </is>
      </c>
      <c r="B75" s="14" t="inlineStr">
        <is>
          <t>FR-14</t>
        </is>
      </c>
      <c r="C75" s="15" t="inlineStr">
        <is>
          <t>จัดการผู้ใช้</t>
        </is>
      </c>
      <c r="D75" s="15" t="inlineStr">
        <is>
          <t>Staff (ไม่ใช่ Super Admin) จัดการผู้ใช้</t>
        </is>
      </c>
      <c r="E75" s="15" t="inlineStr">
        <is>
          <t>Login เป็น Staff</t>
        </is>
      </c>
      <c r="F75" s="15" t="inlineStr">
        <is>
          <t>1. เปิดหน้าจัดการผู้ใช้ / เรียก API</t>
        </is>
      </c>
      <c r="G75" s="15" t="inlineStr">
        <is>
          <t>-</t>
        </is>
      </c>
      <c r="H75" s="15" t="inlineStr">
        <is>
          <t>ถูกปฏิเสธ 403</t>
        </is>
      </c>
      <c r="I75" s="15" t="inlineStr">
        <is>
          <t>Staff เพิ่มผู้ใช้: HTTP 403 “Administrator permission required”</t>
        </is>
      </c>
      <c r="J75" s="14" t="inlineStr">
        <is>
          <t>Pass</t>
        </is>
      </c>
      <c r="K75" s="14" t="inlineStr">
        <is>
          <t>High</t>
        </is>
      </c>
      <c r="L75" s="14" t="inlineStr">
        <is>
          <t>Security</t>
        </is>
      </c>
      <c r="M75" s="15" t="inlineStr">
        <is>
          <t>Claude (ทดสอบอัตโนมัติ)</t>
        </is>
      </c>
      <c r="N75" s="21" t="n">
        <v>46320</v>
      </c>
      <c r="O75" s="15" t="inlineStr"/>
    </row>
    <row r="76" ht="60" customHeight="1">
      <c r="A76" s="14" t="inlineStr">
        <is>
          <t>TC-FR14-05</t>
        </is>
      </c>
      <c r="B76" s="14" t="inlineStr">
        <is>
          <t>FR-14</t>
        </is>
      </c>
      <c r="C76" s="15" t="inlineStr">
        <is>
          <t>จัดการจุดฝาก</t>
        </is>
      </c>
      <c r="D76" s="15" t="inlineStr">
        <is>
          <t>เพิ่ม/แก้ไขจุดรับฝาก</t>
        </is>
      </c>
      <c r="E76" s="15" t="inlineStr">
        <is>
          <t>Login เป็น Super Admin</t>
        </is>
      </c>
      <c r="F76" s="15" t="inlineStr">
        <is>
          <t>1. เพิ่มจุดฝากพร้อมพิกัดและเวลาทำการ
2. แก้ไขเวลาทำการ</t>
        </is>
      </c>
      <c r="G76" s="15" t="inlineStr">
        <is>
          <t>ชื่อ: จุดฝากทดสอบ</t>
        </is>
      </c>
      <c r="H76" s="15" t="inlineStr">
        <is>
          <t>จุดฝากแสดงในแผนที่และตัวเลือกจุดฝาก</t>
        </is>
      </c>
      <c r="I76" s="15" t="inlineStr">
        <is>
          <t>เพิ่ม 201; แก้ไข 200; ผู้ใช้เห็นเวลาใหม่ 10:00–15:00</t>
        </is>
      </c>
      <c r="J76" s="14" t="inlineStr">
        <is>
          <t>Pass</t>
        </is>
      </c>
      <c r="K76" s="14" t="inlineStr">
        <is>
          <t>Medium</t>
        </is>
      </c>
      <c r="L76" s="14" t="inlineStr">
        <is>
          <t>Positive</t>
        </is>
      </c>
      <c r="M76" s="15" t="inlineStr">
        <is>
          <t>Claude (ทดสอบอัตโนมัติ)</t>
        </is>
      </c>
      <c r="N76" s="21" t="n">
        <v>46320</v>
      </c>
      <c r="O76" s="15" t="inlineStr"/>
    </row>
    <row r="77" ht="40" customHeight="1">
      <c r="A77" s="14" t="inlineStr">
        <is>
          <t>TC-FR15-01</t>
        </is>
      </c>
      <c r="B77" s="14" t="inlineStr">
        <is>
          <t>FR-15</t>
        </is>
      </c>
      <c r="C77" s="15" t="inlineStr">
        <is>
          <t>Audit trail</t>
        </is>
      </c>
      <c r="D77" s="15" t="inlineStr">
        <is>
          <t>บันทึกการเปลี่ยนสถานะทุกครั้ง</t>
        </is>
      </c>
      <c r="E77" s="15" t="inlineStr">
        <is>
          <t>มีรายการที่เปลี่ยนสถานะหลายครั้ง</t>
        </is>
      </c>
      <c r="F77" s="15" t="inlineStr">
        <is>
          <t>1. เปิดประวัติการคืน / audit ของรายการ</t>
        </is>
      </c>
      <c r="G77" s="15" t="inlineStr">
        <is>
          <t>-</t>
        </is>
      </c>
      <c r="H77" s="15" t="inlineStr">
        <is>
          <t>เห็นทุกการเปลี่ยนสถานะ พร้อมผู้ทำ เวลา สถานะก่อน/หลัง</t>
        </is>
      </c>
      <c r="I77" s="15" t="inlineStr">
        <is>
          <t>HTTP 200 — 10 รายการ มีผู้ทำ เวลา และข้อมูลก่อน/หลัง</t>
        </is>
      </c>
      <c r="J77" s="14" t="inlineStr">
        <is>
          <t>Pass</t>
        </is>
      </c>
      <c r="K77" s="14" t="inlineStr">
        <is>
          <t>Low</t>
        </is>
      </c>
      <c r="L77" s="14" t="inlineStr">
        <is>
          <t>Positive</t>
        </is>
      </c>
      <c r="M77" s="15" t="inlineStr">
        <is>
          <t>Claude (ทดสอบอัตโนมัติ)</t>
        </is>
      </c>
      <c r="N77" s="21" t="n">
        <v>46320</v>
      </c>
      <c r="O77" s="15" t="inlineStr"/>
    </row>
    <row r="78" ht="80" customHeight="1">
      <c r="A78" s="14" t="inlineStr">
        <is>
          <t>TC-NFR-01</t>
        </is>
      </c>
      <c r="B78" s="14" t="inlineStr">
        <is>
          <t>NFR</t>
        </is>
      </c>
      <c r="C78" s="15" t="inlineStr">
        <is>
          <t>Responsive</t>
        </is>
      </c>
      <c r="D78" s="15" t="inlineStr">
        <is>
          <t>ใช้งานบนมือถือ (กว้าง 390px)</t>
        </is>
      </c>
      <c r="E78" s="15" t="inlineStr">
        <is>
          <t>-</t>
        </is>
      </c>
      <c r="F78" s="15" t="inlineStr">
        <is>
          <t>1. เปิดหน้าหลัก ฟอร์ม และ Admin บนมือถือ</t>
        </is>
      </c>
      <c r="G78" s="15" t="inlineStr">
        <is>
          <t>iPhone / Android</t>
        </is>
      </c>
      <c r="H78" s="15" t="inlineStr">
        <is>
          <t>ไม่มี scroll แนวนอน ปุ่มกดได้ เนื้อหาไม่ล้น</t>
        </is>
      </c>
      <c r="I78" s="15" t="inlineStr">
        <is>
          <t>Playwright ผ่านทุกกรณีที่ความกว้าง 320/390/768/1440px: ไม่มี scroll แนวนอนในหน้าผู้ใช้ หน้าสาธารณะ และหน้า Admin</t>
        </is>
      </c>
      <c r="J78" s="14" t="inlineStr">
        <is>
          <t>Pass</t>
        </is>
      </c>
      <c r="K78" s="14" t="inlineStr">
        <is>
          <t>Medium</t>
        </is>
      </c>
      <c r="L78" s="14" t="inlineStr">
        <is>
          <t>Usability</t>
        </is>
      </c>
      <c r="M78" s="15" t="inlineStr">
        <is>
          <t>Claude (ทดสอบอัตโนมัติ)</t>
        </is>
      </c>
      <c r="N78" s="21" t="n">
        <v>46320</v>
      </c>
      <c r="O78" s="15" t="inlineStr">
        <is>
          <t>design-responsive.spec, ui-consistency.spec, ui-polish.spec</t>
        </is>
      </c>
    </row>
    <row r="79" ht="80" customHeight="1">
      <c r="A79" s="14" t="inlineStr">
        <is>
          <t>TC-NFR-02</t>
        </is>
      </c>
      <c r="B79" s="14" t="inlineStr">
        <is>
          <t>NFR</t>
        </is>
      </c>
      <c r="C79" s="15" t="inlineStr">
        <is>
          <t>ภาษา</t>
        </is>
      </c>
      <c r="D79" s="15" t="inlineStr">
        <is>
          <t>สลับภาษาไทย/อังกฤษ</t>
        </is>
      </c>
      <c r="E79" s="15" t="inlineStr">
        <is>
          <t>-</t>
        </is>
      </c>
      <c r="F79" s="15" t="inlineStr">
        <is>
          <t>1. กดสลับภาษา
2. ตรวจเมนู ปุ่ม ข้อความแจ้งเตือน</t>
        </is>
      </c>
      <c r="G79" s="15" t="inlineStr">
        <is>
          <t>-</t>
        </is>
      </c>
      <c r="H79" s="15" t="inlineStr">
        <is>
          <t>UI เปลี่ยนภาษา ข้อมูลที่ผู้ใช้กรอกไม่ถูกแปล</t>
        </is>
      </c>
      <c r="I79" s="15" t="inlineStr">
        <is>
          <t>สลับเป็น English แล้ว UI เปลี่ยนภาษา จำค่าภาษาไว้ ข้อมูลที่ผู้ใช้กรอกและชื่อคนไม่ถูกแปล ค่าที่บันทึกใน API ไม่เปลี่ยน</t>
        </is>
      </c>
      <c r="J79" s="14" t="inlineStr">
        <is>
          <t>Pass</t>
        </is>
      </c>
      <c r="K79" s="14" t="inlineStr">
        <is>
          <t>Low</t>
        </is>
      </c>
      <c r="L79" s="14" t="inlineStr">
        <is>
          <t>Usability</t>
        </is>
      </c>
      <c r="M79" s="15" t="inlineStr">
        <is>
          <t>Claude (ทดสอบอัตโนมัติ)</t>
        </is>
      </c>
      <c r="N79" s="21" t="n">
        <v>46320</v>
      </c>
      <c r="O79" s="15" t="inlineStr">
        <is>
          <t>localization.spec, localization-regression.spec, language-settings.spec</t>
        </is>
      </c>
    </row>
    <row r="80" ht="80" customHeight="1">
      <c r="A80" s="14" t="inlineStr">
        <is>
          <t>TC-NFR-03</t>
        </is>
      </c>
      <c r="B80" s="14" t="inlineStr">
        <is>
          <t>NFR</t>
        </is>
      </c>
      <c r="C80" s="15" t="inlineStr">
        <is>
          <t>Accessibility</t>
        </is>
      </c>
      <c r="D80" s="15" t="inlineStr">
        <is>
          <t>ใช้งานด้วยคีย์บอร์ดอย่างเดียว</t>
        </is>
      </c>
      <c r="E80" s="15" t="inlineStr">
        <is>
          <t>-</t>
        </is>
      </c>
      <c r="F80" s="15" t="inlineStr">
        <is>
          <t>1. ใช้ Tab/Enter/Esc กรอกฟอร์มแจ้งของหาย และปิด dialog</t>
        </is>
      </c>
      <c r="G80" s="15" t="inlineStr">
        <is>
          <t>-</t>
        </is>
      </c>
      <c r="H80" s="15" t="inlineStr">
        <is>
          <t>โฟกัสมองเห็นได้ ทำงานครบโดยไม่ใช้เมาส์</t>
        </is>
      </c>
      <c r="I80" s="15" t="inlineStr">
        <is>
          <t>skip link และ dialog ยืนยันออกจากระบบใช้งานด้วยคีย์บอร์ดได้ ผ่านการตรวจ WCAG AA อัตโนมัติ (axe) บนคอมและมือถือ</t>
        </is>
      </c>
      <c r="J80" s="14" t="inlineStr">
        <is>
          <t>Pass</t>
        </is>
      </c>
      <c r="K80" s="14" t="inlineStr">
        <is>
          <t>Low</t>
        </is>
      </c>
      <c r="L80" s="14" t="inlineStr">
        <is>
          <t>Usability</t>
        </is>
      </c>
      <c r="M80" s="15" t="inlineStr">
        <is>
          <t>Claude (ทดสอบอัตโนมัติ)</t>
        </is>
      </c>
      <c r="N80" s="21" t="n">
        <v>46320</v>
      </c>
      <c r="O80" s="15" t="inlineStr">
        <is>
          <t>accessibility.spec — ยังไม่ได้ทดสอบกับ screen reader โดยคน</t>
        </is>
      </c>
    </row>
    <row r="81" ht="60" customHeight="1">
      <c r="A81" s="14" t="inlineStr">
        <is>
          <t>TC-NFR-04</t>
        </is>
      </c>
      <c r="B81" s="14" t="inlineStr">
        <is>
          <t>NFR</t>
        </is>
      </c>
      <c r="C81" s="15" t="inlineStr">
        <is>
          <t>Security</t>
        </is>
      </c>
      <c r="D81" s="15" t="inlineStr">
        <is>
          <t>เชื่อมต่อผ่าน HTTPS</t>
        </is>
      </c>
      <c r="E81" s="15" t="inlineStr">
        <is>
          <t>Deploy production</t>
        </is>
      </c>
      <c r="F81" s="15" t="inlineStr">
        <is>
          <t>1. เปิดเว็บด้วย http://</t>
        </is>
      </c>
      <c r="G81" s="15" t="inlineStr">
        <is>
          <t>-</t>
        </is>
      </c>
      <c r="H81" s="15" t="inlineStr">
        <is>
          <t>ถูก redirect ไป https:// ใบรับรองถูกต้อง</t>
        </is>
      </c>
      <c r="I81" s="15" t="inlineStr">
        <is>
          <t>ยังไม่มีเครื่อง production ให้ทดสอบ redirect http→https และใบรับรองจริง</t>
        </is>
      </c>
      <c r="J81" s="14" t="inlineStr">
        <is>
          <t>Blocked</t>
        </is>
      </c>
      <c r="K81" s="14" t="inlineStr">
        <is>
          <t>High</t>
        </is>
      </c>
      <c r="L81" s="14" t="inlineStr">
        <is>
          <t>Security</t>
        </is>
      </c>
      <c r="M81" s="15" t="inlineStr">
        <is>
          <t>Claude (ทดสอบอัตโนมัติ)</t>
        </is>
      </c>
      <c r="N81" s="21" t="n">
        <v>46320</v>
      </c>
      <c r="O81" s="15" t="inlineStr">
        <is>
          <t>มีหลักฐานเก่า evidence/tls-local.json (6 ต.ค. 2569) ว่า TLSv1.3 ผ่านบน localhost:8443 — ไม่ได้รันใหม่</t>
        </is>
      </c>
    </row>
    <row r="82" ht="80" customHeight="1">
      <c r="A82" s="14" t="inlineStr">
        <is>
          <t>TC-NFR-05</t>
        </is>
      </c>
      <c r="B82" s="14" t="inlineStr">
        <is>
          <t>NFR</t>
        </is>
      </c>
      <c r="C82" s="15" t="inlineStr">
        <is>
          <t>Security</t>
        </is>
      </c>
      <c r="D82" s="15" t="inlineStr">
        <is>
          <t>ป้องกัน XSS ในช่องข้อความ</t>
        </is>
      </c>
      <c r="E82" s="15" t="inlineStr">
        <is>
          <t>Login เป็นนิสิต</t>
        </is>
      </c>
      <c r="F82" s="15" t="inlineStr">
        <is>
          <t>1. แจ้งของหายโดยใส่สคริปต์ในรายละเอียด
2. เปิดดูรายการ</t>
        </is>
      </c>
      <c r="G82" s="15" t="inlineStr">
        <is>
          <t>&lt;script&gt;alert(1)&lt;/script&gt;</t>
        </is>
      </c>
      <c r="H82" s="15" t="inlineStr">
        <is>
          <t>แสดงเป็นข้อความธรรมดา ไม่รันสคริปต์</t>
        </is>
      </c>
      <c r="I82" s="15" t="inlineStr">
        <is>
          <t>บันทึกรายการ HTTP 201; หน้ารายการของหายแสดงโค้ดเป็นข้อความธรรมดา (เห็นข้อความ &lt;img ...&gt;); สคริปต์ทำงาน (alert) 0 ครั้ง</t>
        </is>
      </c>
      <c r="J82" s="14" t="inlineStr">
        <is>
          <t>Pass</t>
        </is>
      </c>
      <c r="K82" s="14" t="inlineStr">
        <is>
          <t>High</t>
        </is>
      </c>
      <c r="L82" s="14" t="inlineStr">
        <is>
          <t>Security</t>
        </is>
      </c>
      <c r="M82" s="15" t="inlineStr">
        <is>
          <t>Claude (ทดสอบอัตโนมัติ)</t>
        </is>
      </c>
      <c r="N82" s="21" t="n">
        <v>46320</v>
      </c>
      <c r="O82" s="15" t="inlineStr">
        <is>
          <t>ภาพหน้าจอ: TC-NFR-05.png</t>
        </is>
      </c>
    </row>
    <row r="83" ht="100" customHeight="1">
      <c r="A83" s="14" t="inlineStr">
        <is>
          <t>TC-NFR-06</t>
        </is>
      </c>
      <c r="B83" s="14" t="inlineStr">
        <is>
          <t>NFR</t>
        </is>
      </c>
      <c r="C83" s="15" t="inlineStr">
        <is>
          <t>PDPA</t>
        </is>
      </c>
      <c r="D83" s="15" t="inlineStr">
        <is>
          <t>หน้าประกาศความเป็นส่วนตัว</t>
        </is>
      </c>
      <c r="E83" s="15" t="inlineStr">
        <is>
          <t>-</t>
        </is>
      </c>
      <c r="F83" s="15" t="inlineStr">
        <is>
          <t>1. เปิดหน้า Privacy</t>
        </is>
      </c>
      <c r="G83" s="15" t="inlineStr">
        <is>
          <t>-</t>
        </is>
      </c>
      <c r="H83" s="15" t="inlineStr">
        <is>
          <t>มีผู้ควบคุมข้อมูล ฐานการประมวลผล ระยะเก็บ และช่องทางยื่นคำขอ</t>
        </is>
      </c>
      <c r="I83" s="15" t="inlineStr">
        <is>
          <t>หน้า/API ประกาศความเป็นส่วนตัวมีระยะเก็บข้อมูลและช่องยื่นคำขอ แต่ชื่อและอีเมลผู้ควบคุมข้อมูลว่าง และ approved=false (ทั้งในฐานทดสอบและ backend/.env)</t>
        </is>
      </c>
      <c r="J83" s="14" t="inlineStr">
        <is>
          <t>Fail</t>
        </is>
      </c>
      <c r="K83" s="14" t="inlineStr">
        <is>
          <t>Medium</t>
        </is>
      </c>
      <c r="L83" s="14" t="inlineStr">
        <is>
          <t>Compliance</t>
        </is>
      </c>
      <c r="M83" s="15" t="inlineStr">
        <is>
          <t>Claude (ทดสอบอัตโนมัติ)</t>
        </is>
      </c>
      <c r="N83" s="21" t="n">
        <v>46320</v>
      </c>
      <c r="O83" s="15" t="inlineStr">
        <is>
          <t>ต้องตั้ง DATA_CONTROLLER_NAME, DATA_CONTROLLER_EMAIL และให้ผู้มีอำนาจอนุมัติประกาศ</t>
        </is>
      </c>
    </row>
  </sheetData>
  <autoFilter ref="A1:O83"/>
  <conditionalFormatting sqref="J2:J28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3">
    <dataValidation sqref="J2:J283" showDropDown="0" showInputMessage="0" showErrorMessage="0" allowBlank="1" type="list">
      <formula1>"Pass,Fail,Blocked,Not Run"</formula1>
    </dataValidation>
    <dataValidation sqref="K2:K283" showDropDown="0" showInputMessage="0" showErrorMessage="0" allowBlank="1" type="list">
      <formula1>"High,Medium,Low"</formula1>
    </dataValidation>
    <dataValidation sqref="N2:N283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6" customWidth="1" min="4" max="4"/>
  </cols>
  <sheetData>
    <row r="1">
      <c r="A1" s="17" t="inlineStr">
        <is>
          <t>รหัส</t>
        </is>
      </c>
      <c r="B1" s="17" t="inlineStr">
        <is>
          <t>ข้อกำหนด</t>
        </is>
      </c>
      <c r="C1" s="17" t="inlineStr">
        <is>
          <t>ความสำคัญ</t>
        </is>
      </c>
      <c r="D1" s="17" t="inlineStr">
        <is>
          <t>จำนวน Test Case</t>
        </is>
      </c>
    </row>
    <row r="2">
      <c r="A2" s="14" t="inlineStr">
        <is>
          <t>FR-01</t>
        </is>
      </c>
      <c r="B2" s="15" t="inlineStr">
        <is>
          <t>เข้าสู่ระบบด้วย @ku.th + OTP ครั้งแรก ตั้งรหัสผ่าน reset/logout/session หมดอายุ</t>
        </is>
      </c>
      <c r="C2" s="14" t="inlineStr">
        <is>
          <t>สูง</t>
        </is>
      </c>
      <c r="D2" s="14">
        <f>COUNTIF('Test Cases'!$B:$B,A2)</f>
        <v/>
      </c>
    </row>
    <row r="3">
      <c r="A3" s="14" t="inlineStr">
        <is>
          <t>FR-02</t>
        </is>
      </c>
      <c r="B3" s="15" t="inlineStr">
        <is>
          <t>แจ้งของหาย ระบุประเภท ยี่ห้อ/รุ่น ลักษณะเฉพาะ วันเวลา สถานที่ สี แนบภาพ</t>
        </is>
      </c>
      <c r="C3" s="14" t="inlineStr">
        <is>
          <t>สูง</t>
        </is>
      </c>
      <c r="D3" s="14">
        <f>COUNTIF('Test Cases'!$B:$B,A3)</f>
        <v/>
      </c>
    </row>
    <row r="4">
      <c r="A4" s="14" t="inlineStr">
        <is>
          <t>FR-03</t>
        </is>
      </c>
      <c r="B4" s="15" t="inlineStr">
        <is>
          <t>แจ้งของพบ ระบุจุดฝาก เจ้าหน้าที่อัปเดตจุดฝากได้</t>
        </is>
      </c>
      <c r="C4" s="14" t="inlineStr">
        <is>
          <t>สูง</t>
        </is>
      </c>
      <c r="D4" s="14">
        <f>COUNTIF('Test Cases'!$B:$B,A4)</f>
        <v/>
      </c>
    </row>
    <row r="5">
      <c r="A5" s="14" t="inlineStr">
        <is>
          <t>FR-04</t>
        </is>
      </c>
      <c r="B5" s="15" t="inlineStr">
        <is>
          <t>จับคู่อัตโนมัติจากประเภท สี สถานที่ ช่วงเวลา พร้อม confidence score</t>
        </is>
      </c>
      <c r="C5" s="14" t="inlineStr">
        <is>
          <t>สูง</t>
        </is>
      </c>
      <c r="D5" s="14">
        <f>COUNTIF('Test Cases'!$B:$B,A5)</f>
        <v/>
      </c>
    </row>
    <row r="6">
      <c r="A6" s="14" t="inlineStr">
        <is>
          <t>FR-05</t>
        </is>
      </c>
      <c r="B6" s="15" t="inlineStr">
        <is>
          <t>แจ้งเตือนทั้งสองฝ่ายเมื่อพบคู่ (อีเมล / in-app)</t>
        </is>
      </c>
      <c r="C6" s="14" t="inlineStr">
        <is>
          <t>สูง</t>
        </is>
      </c>
      <c r="D6" s="14">
        <f>COUNTIF('Test Cases'!$B:$B,A6)</f>
        <v/>
      </c>
    </row>
    <row r="7">
      <c r="A7" s="14" t="inlineStr">
        <is>
          <t>FR-06</t>
        </is>
      </c>
      <c r="B7" s="15" t="inlineStr">
        <is>
          <t>ปกปิดลักษณะเฉพาะจากรายการทั่วไป</t>
        </is>
      </c>
      <c r="C7" s="14" t="inlineStr">
        <is>
          <t>สูง</t>
        </is>
      </c>
      <c r="D7" s="14">
        <f>COUNTIF('Test Cases'!$B:$B,A7)</f>
        <v/>
      </c>
    </row>
    <row r="8">
      <c r="A8" s="14" t="inlineStr">
        <is>
          <t>FR-07</t>
        </is>
      </c>
      <c r="B8" s="15" t="inlineStr">
        <is>
          <t>ขอรับคืน ตอบลักษณะเฉพาะ เจ้าหน้าที่ตรวจก่อนส่งมอบ</t>
        </is>
      </c>
      <c r="C8" s="14" t="inlineStr">
        <is>
          <t>สูง</t>
        </is>
      </c>
      <c r="D8" s="14">
        <f>COUNTIF('Test Cases'!$B:$B,A8)</f>
        <v/>
      </c>
    </row>
    <row r="9">
      <c r="A9" s="14" t="inlineStr">
        <is>
          <t>FR-08</t>
        </is>
      </c>
      <c r="B9" s="15" t="inlineStr">
        <is>
          <t>ติดตามสถานะรายงานของตนเอง</t>
        </is>
      </c>
      <c r="C9" s="14" t="inlineStr">
        <is>
          <t>กลาง</t>
        </is>
      </c>
      <c r="D9" s="14">
        <f>COUNTIF('Test Cases'!$B:$B,A9)</f>
        <v/>
      </c>
    </row>
    <row r="10">
      <c r="A10" s="14" t="inlineStr">
        <is>
          <t>FR-09</t>
        </is>
      </c>
      <c r="B10" s="15" t="inlineStr">
        <is>
          <t>แสดงจุดฝาก แผนที่ และเวลาทำการ</t>
        </is>
      </c>
      <c r="C10" s="14" t="inlineStr">
        <is>
          <t>กลาง</t>
        </is>
      </c>
      <c r="D10" s="14">
        <f>COUNTIF('Test Cases'!$B:$B,A10)</f>
        <v/>
      </c>
    </row>
    <row r="11">
      <c r="A11" s="14" t="inlineStr">
        <is>
          <t>FR-10</t>
        </is>
      </c>
      <c r="B11" s="15" t="inlineStr">
        <is>
          <t>เจ้าหน้าที่รับฝาก ย้ายจุด ส่งคืน จำหน่าย/บริจาค</t>
        </is>
      </c>
      <c r="C11" s="14" t="inlineStr">
        <is>
          <t>กลาง</t>
        </is>
      </c>
      <c r="D11" s="14">
        <f>COUNTIF('Test Cases'!$B:$B,A11)</f>
        <v/>
      </c>
    </row>
    <row r="12">
      <c r="A12" s="14" t="inlineStr">
        <is>
          <t>FR-11</t>
        </is>
      </c>
      <c r="B12" s="15" t="inlineStr">
        <is>
          <t>กำหนดระยะเก็บ แจ้งเตือนก่อนครบกำหนด</t>
        </is>
      </c>
      <c r="C12" s="14" t="inlineStr">
        <is>
          <t>กลาง</t>
        </is>
      </c>
      <c r="D12" s="14">
        <f>COUNTIF('Test Cases'!$B:$B,A12)</f>
        <v/>
      </c>
    </row>
    <row r="13">
      <c r="A13" s="14" t="inlineStr">
        <is>
          <t>FR-12</t>
        </is>
      </c>
      <c r="B13" s="15" t="inlineStr">
        <is>
          <t>ค้นหาและกรองตามประเภท วันที่ สถานที่ สถานะ</t>
        </is>
      </c>
      <c r="C13" s="14" t="inlineStr">
        <is>
          <t>กลาง</t>
        </is>
      </c>
      <c r="D13" s="14">
        <f>COUNTIF('Test Cases'!$B:$B,A13)</f>
        <v/>
      </c>
    </row>
    <row r="14">
      <c r="A14" s="14" t="inlineStr">
        <is>
          <t>FR-13</t>
        </is>
      </c>
      <c r="B14" s="15" t="inlineStr">
        <is>
          <t>สถิติ รายงาน Export PDF/Excel</t>
        </is>
      </c>
      <c r="C14" s="14" t="inlineStr">
        <is>
          <t>กลาง</t>
        </is>
      </c>
      <c r="D14" s="14">
        <f>COUNTIF('Test Cases'!$B:$B,A14)</f>
        <v/>
      </c>
    </row>
    <row r="15">
      <c r="A15" s="14" t="inlineStr">
        <is>
          <t>FR-14</t>
        </is>
      </c>
      <c r="B15" s="15" t="inlineStr">
        <is>
          <t>จัดการบัญชี บทบาท และจุดรับฝาก</t>
        </is>
      </c>
      <c r="C15" s="14" t="inlineStr">
        <is>
          <t>กลาง</t>
        </is>
      </c>
      <c r="D15" s="14">
        <f>COUNTIF('Test Cases'!$B:$B,A15)</f>
        <v/>
      </c>
    </row>
    <row r="16">
      <c r="A16" s="14" t="inlineStr">
        <is>
          <t>FR-15</t>
        </is>
      </c>
      <c r="B16" s="15" t="inlineStr">
        <is>
          <t>Audit trail การเปลี่ยนสถานะ</t>
        </is>
      </c>
      <c r="C16" s="14" t="inlineStr">
        <is>
          <t>ต่ำ</t>
        </is>
      </c>
      <c r="D16" s="14">
        <f>COUNTIF('Test Cases'!$B:$B,A16)</f>
        <v/>
      </c>
    </row>
    <row r="17">
      <c r="A17" s="14" t="inlineStr">
        <is>
          <t>NFR</t>
        </is>
      </c>
      <c r="B17" s="15" t="inlineStr">
        <is>
          <t>Security, PDPA, Performance, Usability, Localization</t>
        </is>
      </c>
      <c r="C17" s="14" t="inlineStr">
        <is>
          <t>—</t>
        </is>
      </c>
      <c r="D17" s="14">
        <f>COUNTIF('Test Cases'!$B:$B,A17)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22" t="inlineStr">
        <is>
          <t>หลักฐานและวิธีทดสอบ</t>
        </is>
      </c>
    </row>
    <row r="3" ht="40" customHeight="1">
      <c r="A3" s="23" t="inlineStr">
        <is>
          <t>ขอบเขต</t>
        </is>
      </c>
      <c r="B3" s="15" t="inlineStr">
        <is>
          <t>รันทั้ง 82 กรณีในชีต Test Cases วันที่ 25 ต.ค. 2569 บนเครื่อง Windows 10 ของผู้ใช้</t>
        </is>
      </c>
    </row>
    <row r="4" ht="40" customHeight="1">
      <c r="A4" s="23" t="inlineStr">
        <is>
          <t>สภาพแวดล้อม</t>
        </is>
      </c>
      <c r="B4" s="15" t="inlineStr">
        <is>
          <t>ฐานข้อมูล PostgreSQL จำลองในหน่วยความจำ (PGlite) แยกจากฐานจริง; ดักอีเมลไว้ ไม่ส่งออกจริง; ไม่แตะข้อมูล รูป หรือบัญชีจริง</t>
        </is>
      </c>
    </row>
    <row r="5" ht="40" customHeight="1">
      <c r="A5" s="23" t="inlineStr">
        <is>
          <t>วิธีทดสอบ API (75 กรณี)</t>
        </is>
      </c>
      <c r="B5" s="15" t="inlineStr">
        <is>
          <t>สคริปต์ Node เรียก HTTP API ตามขั้นตอนของแต่ละกรณี แล้วตรวจ status code, response และข้อมูลในฐาน</t>
        </is>
      </c>
    </row>
    <row r="6" ht="40" customHeight="1">
      <c r="A6" s="23" t="inlineStr">
        <is>
          <t>วิธีทดสอบหน้าเว็บ (7 กรณี)</t>
        </is>
      </c>
      <c r="B6" s="15" t="inlineStr">
        <is>
          <t>Playwright บน Microsoft Edge: TC-FR01-14 และ TC-NFR-05 ทดสอบตรง (มีภาพหน้าจอ); TC-NFR-01/02/03 อ้างผล e2e ของโปรเจกต์</t>
        </is>
      </c>
    </row>
    <row r="7" ht="40" customHeight="1">
      <c r="A7" s="23" t="inlineStr">
        <is>
          <t>ชุด unit/integration ของโปรเจกต์</t>
        </is>
      </c>
      <c r="B7" s="15" t="inlineStr">
        <is>
          <t>npm run test:unit — 302 tests: ผ่าน 295, ล้มเหลว 0, ข้าม 2, TODO (บั๊กที่รู้แล้ว) 5</t>
        </is>
      </c>
    </row>
    <row r="8" ht="22" customHeight="1">
      <c r="A8" s="23" t="inlineStr">
        <is>
          <t>ชุด e2e ของโปรเจกต์</t>
        </is>
      </c>
      <c r="B8" s="15" t="inlineStr">
        <is>
          <t>npx playwright test — ผ่าน 178/178 (6.8 นาที)</t>
        </is>
      </c>
    </row>
    <row r="9" ht="40" customHeight="1">
      <c r="A9" s="23" t="inlineStr">
        <is>
          <t>บั๊ก TODO ที่โปรเจกต์บันทึกไว้</t>
        </is>
      </c>
      <c r="B9" s="15" t="inlineStr">
        <is>
          <t>BUG-01: ส่งรูปผิดชื่อฟิลด์/หลายรูปได้ HTTP 500 แทน 4xx; BUG-02: รับวันที่ในอนาคต; BUG-03: อักขระ % และ _ ในช่องค้นหาไม่ถูก escape</t>
        </is>
      </c>
    </row>
    <row r="10" ht="40" customHeight="1">
      <c r="A10" s="23" t="inlineStr">
        <is>
          <t>ข้อจำกัด</t>
        </is>
      </c>
      <c r="B10" s="15" t="inlineStr">
        <is>
          <t>ไม่ได้ทดสอบ: ส่งอีเมลจริง, Google OAuth จริง, โมเดล vision จริง, HTTPS บน production, โหลด 500 คน, uptime 99%, screen reader โดยคน</t>
        </is>
      </c>
    </row>
    <row r="11" ht="80" customHeight="1">
      <c r="A11" s="23" t="inlineStr">
        <is>
          <t>รอบ 2 — ทดสอบซ้ำหลังแก้ BUG-02</t>
        </is>
      </c>
      <c r="B11" s="15" t="inlineStr">
        <is>
          <t>แก้: ปฏิเสธวันที่หาย/พบในอนาคต (backend) + ตั้ง max ให้ช่องวันที่ (ฟอร์ม). รันซ้ำทั้ง 75 กรณี API: ผลเดิมทุกข้อ ยกเว้น TC-FR02-08 เปลี่ยนเป็น Pass. ชุด unit: 302 tests ผ่าน 296 ล้มเหลว 0 (API-ITEM-10 ผ่านแล้ว). e2e ฟอร์มแจ้ง/claim/matching: ผ่าน 64/64. build ผ่าน</t>
        </is>
      </c>
    </row>
    <row r="12" ht="80" customHeight="1">
      <c r="A12" s="23" t="inlineStr">
        <is>
          <t>รอบ 3 — ทดสอบซ้ำหลังแก้ TC-FR06-02</t>
        </is>
      </c>
      <c r="B12" s="15" t="inlineStr">
        <is>
          <t>แก้: เจ้าของดูลักษณะเฉพาะที่ตนกรอกได้ในหน้าประวัติของฉัน. รันซ้ำ 75 กรณี API: ผลเดิมทุกข้อ ยกเว้น TC-FR06-02 เปลี่ยนเป็น Pass. ชุด unit: 303 tests ผ่าน 297 ล้มเหลว 0 (เพิ่ม API-HIST-02). e2e: ผ่าน 75/75 (เพิ่ม history-private-details.spec รวม visual snapshot, accessibility, localization). build ผ่าน</t>
        </is>
      </c>
    </row>
    <row r="13" ht="70" customHeight="1">
      <c r="A13" s="23" t="inlineStr">
        <is>
          <t>รอบ 4 — ทดสอบซ้ำหลังแก้ TC-FR05-01</t>
        </is>
      </c>
      <c r="B13" s="15" t="inlineStr">
        <is>
          <t>แก้: ส่งอีเมลแจ้งทั้งสองฝ่ายเมื่อระบบพบคู่. รันซ้ำ 75 กรณี API: ผลเดิมทุกข้อ ยกเว้น TC-FR05-01 เปลี่ยนเป็น Pass. ชุด unit: 304 tests ผ่าน 298 ล้มเหลว 0 (เพิ่ม test อีเมลแจ้งคู่ใน matching.test.cjs). e2e จับคู่/แจ้งเตือน/admin/ฟอร์ม: ผ่าน 46/46</t>
        </is>
      </c>
    </row>
    <row r="14" ht="50" customHeight="1">
      <c r="A14" s="23" t="inlineStr">
        <is>
          <t>รอบ 5 — แก้ผลที่คาดหวัง TC-FR01-03</t>
        </is>
      </c>
      <c r="B14" s="15" t="inlineStr">
        <is>
          <t>เจ้าของโปรเจกต์ยืนยันให้คงข้อความแจ้งชัด จึงเปลี่ยนผลที่คาดหวังของ TC-FR01-03 (ทั้งไฟล์ template และไฟล์ผล) แล้วรันซ้ำทั้ง 75 กรณี API: ผ่านทั้งหมด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2026-10-24T12:45:52Z</dcterms:created>
  <dcterms:modified xsi:type="dcterms:W3CDTF">2026-10-25T10:00:06Z</dcterms:modified>
</cp:coreProperties>
</file>